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21" windowHeight="9679"/>
  </bookViews>
  <sheets>
    <sheet name="Sheet1" sheetId="1" r:id="rId1"/>
    <sheet name="水冷" sheetId="5" r:id="rId2"/>
    <sheet name="Sheet3" sheetId="3" r:id="rId3"/>
    <sheet name="Sheet4" sheetId="4" r:id="rId4"/>
    <sheet name="Sheet6" sheetId="6" r:id="rId5"/>
    <sheet name="删除前数据集750" sheetId="2" r:id="rId6"/>
    <sheet name="泛化能力-新数据预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<sst xmlns="http://schemas.openxmlformats.org/spreadsheetml/2006/main" count="158" uniqueCount="78">
  <si>
    <t>T_hot_in</t>
  </si>
  <si>
    <t>flow_hot</t>
  </si>
  <si>
    <t>flow_cold</t>
  </si>
  <si>
    <t>coolant_type</t>
  </si>
  <si>
    <t>exchanger_type</t>
  </si>
  <si>
    <t>T_cold_in</t>
  </si>
  <si>
    <t>NCG</t>
  </si>
  <si>
    <t>T_hot_out</t>
  </si>
  <si>
    <t>delta_T_cold</t>
  </si>
  <si>
    <t>heat_flux</t>
  </si>
  <si>
    <t>HTC</t>
  </si>
  <si>
    <t>efficiency</t>
  </si>
  <si>
    <t>热源温度℃</t>
  </si>
  <si>
    <t>热源流量m3/h</t>
  </si>
  <si>
    <t>热源出口温度℃</t>
  </si>
  <si>
    <t>冷源进口温度℃</t>
  </si>
  <si>
    <t>热流密度</t>
  </si>
  <si>
    <r>
      <rPr>
        <sz val="11"/>
        <color rgb="FFFF0000"/>
        <rFont val="宋体"/>
        <charset val="134"/>
      </rPr>
      <t>传热系数</t>
    </r>
    <r>
      <rPr>
        <sz val="11"/>
        <color rgb="FFFF0000"/>
        <rFont val="Times New Roman"/>
        <charset val="134"/>
      </rPr>
      <t>w/</t>
    </r>
    <r>
      <rPr>
        <sz val="11"/>
        <color rgb="FFFF0000"/>
        <rFont val="宋体"/>
        <charset val="134"/>
      </rPr>
      <t>（</t>
    </r>
    <r>
      <rPr>
        <sz val="11"/>
        <color rgb="FFFF0000"/>
        <rFont val="Times New Roman"/>
        <charset val="134"/>
      </rPr>
      <t>℃·m2</t>
    </r>
    <r>
      <rPr>
        <sz val="11"/>
        <color rgb="FFFF0000"/>
        <rFont val="宋体"/>
        <charset val="134"/>
      </rPr>
      <t>）</t>
    </r>
  </si>
  <si>
    <t>热回收效率%</t>
  </si>
  <si>
    <t>冷源类型</t>
  </si>
  <si>
    <t>传热系数w/（℃·m2）</t>
  </si>
  <si>
    <t>换热器类型</t>
  </si>
  <si>
    <t>冷源流量统一</t>
  </si>
  <si>
    <t>ncg</t>
  </si>
  <si>
    <t>冷源升温</t>
  </si>
  <si>
    <r>
      <rPr>
        <sz val="11"/>
        <rFont val="宋体"/>
        <charset val="134"/>
      </rPr>
      <t>传热系数</t>
    </r>
    <r>
      <rPr>
        <sz val="11"/>
        <rFont val="Times New Roman"/>
        <charset val="134"/>
      </rPr>
      <t>w/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℃·m2</t>
    </r>
    <r>
      <rPr>
        <sz val="11"/>
        <rFont val="宋体"/>
        <charset val="134"/>
      </rPr>
      <t>）</t>
    </r>
  </si>
  <si>
    <t>样本1预测值:</t>
  </si>
  <si>
    <t>pinn</t>
  </si>
  <si>
    <t>样本2预测值:</t>
  </si>
  <si>
    <t>样本3预测值:</t>
  </si>
  <si>
    <t>样本4预测值:</t>
  </si>
  <si>
    <t>样本5预测值:</t>
  </si>
  <si>
    <t>样本6预测值:</t>
  </si>
  <si>
    <t>样本7预测值:</t>
  </si>
  <si>
    <t>样本8预测值:</t>
  </si>
  <si>
    <t>样本9预测值:</t>
  </si>
  <si>
    <t>样本10预测值:</t>
  </si>
  <si>
    <t>样本11预测值:</t>
  </si>
  <si>
    <t>样本12预测值:</t>
  </si>
  <si>
    <t>样本13预测值:</t>
  </si>
  <si>
    <t>样本14预测值:</t>
  </si>
  <si>
    <t>样本15预测值:</t>
  </si>
  <si>
    <t>样本16预测值:</t>
  </si>
  <si>
    <t>样本17预测值:</t>
  </si>
  <si>
    <t>样本18预测值:</t>
  </si>
  <si>
    <t>样本19预测值:</t>
  </si>
  <si>
    <t>样本20预测值:</t>
  </si>
  <si>
    <t>样本21预测值:</t>
  </si>
  <si>
    <t>样本22预测值:</t>
  </si>
  <si>
    <t>样本23预测值:</t>
  </si>
  <si>
    <t>样本24预测值:</t>
  </si>
  <si>
    <t>样本25预测值:</t>
  </si>
  <si>
    <t>样本26预测值:</t>
  </si>
  <si>
    <t>样本27预测值:</t>
  </si>
  <si>
    <t>样本28预测值:</t>
  </si>
  <si>
    <t>样本29预测值:</t>
  </si>
  <si>
    <t>样本30预测值:</t>
  </si>
  <si>
    <t>样本31预测值:</t>
  </si>
  <si>
    <t>样本32预测值:</t>
  </si>
  <si>
    <t>样本33预测值:</t>
  </si>
  <si>
    <t>样本34预测值:</t>
  </si>
  <si>
    <t>样本35预测值:</t>
  </si>
  <si>
    <t>样本36预测值:</t>
  </si>
  <si>
    <t>样本37预测值:</t>
  </si>
  <si>
    <t>样本38预测值:</t>
  </si>
  <si>
    <t>样本39预测值:</t>
  </si>
  <si>
    <t>样本40预测值:</t>
  </si>
  <si>
    <t>样本41预测值:</t>
  </si>
  <si>
    <t>样本42预测值:</t>
  </si>
  <si>
    <t>样本43预测值:</t>
  </si>
  <si>
    <t>样本44预测值:</t>
  </si>
  <si>
    <t>样本45预测值:</t>
  </si>
  <si>
    <t>样本46预测值:</t>
  </si>
  <si>
    <t>样本47预测值:</t>
  </si>
  <si>
    <t>样本48预测值:</t>
  </si>
  <si>
    <t>样本49预测值:</t>
  </si>
  <si>
    <t>样本50预测值: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</si>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</sst>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_ "/>
    <numFmt numFmtId="179" formatCode="0.000_ "/>
    <numFmt numFmtId="180" formatCode="0.00000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" fillId="0" borderId="0" xfId="3" applyNumberFormat="1" applyFont="1" applyFill="1" applyAlignment="1">
      <alignment horizontal="center" vertical="center"/>
    </xf>
    <xf numFmtId="178" fontId="1" fillId="0" borderId="0" xfId="3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79" fontId="1" fillId="0" borderId="0" xfId="3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8" fillId="0" borderId="0" xfId="0" applyNumberFormat="1" applyFont="1" applyFill="1">
      <alignment vertical="center"/>
    </xf>
    <xf numFmtId="178" fontId="8" fillId="0" borderId="0" xfId="0" applyNumberFormat="1" applyFont="1" applyFill="1">
      <alignment vertical="center"/>
    </xf>
    <xf numFmtId="178" fontId="8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9" fillId="0" borderId="0" xfId="0" applyFont="1" applyFill="1" applyAlignment="1">
      <alignment horizontal="justify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8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8" fontId="8" fillId="0" borderId="0" xfId="3" applyNumberFormat="1" applyFont="1" applyFill="1" applyAlignment="1">
      <alignment horizontal="center" vertical="center"/>
    </xf>
    <xf numFmtId="177" fontId="10" fillId="3" borderId="0" xfId="0" applyNumberFormat="1" applyFon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8" fontId="8" fillId="3" borderId="0" xfId="0" applyNumberFormat="1" applyFont="1" applyFill="1" applyAlignment="1">
      <alignment horizontal="center" vertical="center"/>
    </xf>
    <xf numFmtId="178" fontId="8" fillId="3" borderId="0" xfId="3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3"/>
  <sheetViews>
    <sheetView tabSelected="1" zoomScale="70" zoomScaleNormal="70" workbookViewId="0">
      <pane ySplit="1" topLeftCell="A2" activePane="bottomLeft" state="frozen"/>
      <selection/>
      <selection pane="bottomLeft" activeCell="G4" sqref="G4"/>
    </sheetView>
  </sheetViews>
  <sheetFormatPr defaultColWidth="15.6283185840708" defaultRowHeight="15" outlineLevelCol="7"/>
  <cols>
    <col min="5" max="5" width="15.6283185840708" style="2"/>
    <col min="6" max="6" width="15.6283185840708" style="45"/>
    <col min="7" max="7" width="15.6283185840708" style="46"/>
    <col min="8" max="8" width="15.6283185840708" style="47"/>
  </cols>
  <sheetData>
    <row r="1" spans="1:8">
      <c r="A1" s="2">
        <v>40</v>
      </c>
      <c r="B1" s="2">
        <v>0.3</v>
      </c>
      <c r="C1" s="2">
        <v>0</v>
      </c>
      <c r="D1" s="2">
        <v>0.00283</v>
      </c>
      <c r="E1" s="2">
        <v>0.911</v>
      </c>
      <c r="F1" s="16"/>
      <c r="G1" s="16"/>
      <c r="H1" s="16"/>
    </row>
    <row r="2" spans="1:8">
      <c r="A2" s="2">
        <v>40</v>
      </c>
      <c r="B2" s="2">
        <v>0.3</v>
      </c>
      <c r="C2" s="2">
        <v>2</v>
      </c>
      <c r="D2" s="2">
        <v>0.00251</v>
      </c>
      <c r="E2" s="2">
        <v>0.902</v>
      </c>
      <c r="F2" s="8"/>
      <c r="G2" s="18"/>
      <c r="H2" s="3"/>
    </row>
    <row r="3" spans="1:8">
      <c r="A3" s="2">
        <v>40</v>
      </c>
      <c r="B3" s="2">
        <v>0.3</v>
      </c>
      <c r="C3" s="2">
        <v>1</v>
      </c>
      <c r="D3" s="2">
        <v>0.00229</v>
      </c>
      <c r="E3" s="2">
        <v>0.907</v>
      </c>
      <c r="F3" s="8"/>
      <c r="G3" s="18"/>
      <c r="H3" s="3"/>
    </row>
    <row r="4" spans="1:8">
      <c r="A4" s="2">
        <v>40</v>
      </c>
      <c r="B4" s="2">
        <v>1</v>
      </c>
      <c r="C4" s="2">
        <v>0</v>
      </c>
      <c r="D4" s="2">
        <v>0.00196</v>
      </c>
      <c r="E4" s="2">
        <v>0.873</v>
      </c>
      <c r="F4" s="8"/>
      <c r="G4" s="18"/>
      <c r="H4" s="3"/>
    </row>
    <row r="5" spans="1:8">
      <c r="A5" s="2">
        <v>40</v>
      </c>
      <c r="B5" s="2">
        <v>1</v>
      </c>
      <c r="C5" s="2">
        <v>2</v>
      </c>
      <c r="D5" s="2">
        <v>0.00169</v>
      </c>
      <c r="E5" s="2">
        <v>0.85</v>
      </c>
      <c r="F5" s="8"/>
      <c r="G5" s="18"/>
      <c r="H5" s="3"/>
    </row>
    <row r="6" spans="1:8">
      <c r="A6" s="2">
        <v>40</v>
      </c>
      <c r="B6" s="2">
        <v>1</v>
      </c>
      <c r="C6" s="2">
        <v>1</v>
      </c>
      <c r="D6" s="2">
        <v>0.00144</v>
      </c>
      <c r="E6" s="2">
        <v>0.862</v>
      </c>
      <c r="F6" s="8"/>
      <c r="G6" s="18"/>
      <c r="H6" s="3"/>
    </row>
    <row r="7" spans="1:8">
      <c r="A7" s="2">
        <v>40</v>
      </c>
      <c r="B7" s="2">
        <v>2</v>
      </c>
      <c r="C7" s="2">
        <v>0</v>
      </c>
      <c r="D7" s="2">
        <v>0.00164</v>
      </c>
      <c r="E7" s="2">
        <v>0.836</v>
      </c>
      <c r="F7" s="8"/>
      <c r="G7" s="18"/>
      <c r="H7" s="3"/>
    </row>
    <row r="8" spans="1:8">
      <c r="A8" s="2">
        <v>40</v>
      </c>
      <c r="B8" s="2">
        <v>2</v>
      </c>
      <c r="C8" s="2">
        <v>2</v>
      </c>
      <c r="D8" s="2">
        <v>0.00137</v>
      </c>
      <c r="E8" s="2">
        <v>0.806</v>
      </c>
      <c r="F8" s="8"/>
      <c r="G8" s="18"/>
      <c r="H8" s="3"/>
    </row>
    <row r="9" spans="1:8">
      <c r="A9" s="2">
        <v>40</v>
      </c>
      <c r="B9" s="2">
        <v>2</v>
      </c>
      <c r="C9" s="2">
        <v>1</v>
      </c>
      <c r="D9" s="2">
        <v>0.0012</v>
      </c>
      <c r="E9" s="2">
        <v>0.823</v>
      </c>
      <c r="F9" s="8"/>
      <c r="G9" s="18"/>
      <c r="H9" s="3"/>
    </row>
    <row r="10" spans="1:8">
      <c r="A10" s="2">
        <v>40</v>
      </c>
      <c r="B10" s="2">
        <v>3</v>
      </c>
      <c r="C10" s="2">
        <v>0</v>
      </c>
      <c r="D10" s="2">
        <v>0.00131</v>
      </c>
      <c r="E10" s="2">
        <v>0.8</v>
      </c>
      <c r="F10" s="8"/>
      <c r="G10" s="18"/>
      <c r="H10" s="3"/>
    </row>
    <row r="11" spans="1:8">
      <c r="A11" s="2">
        <v>40</v>
      </c>
      <c r="B11" s="2">
        <v>3</v>
      </c>
      <c r="C11" s="2">
        <v>2</v>
      </c>
      <c r="D11" s="2">
        <v>0.00105</v>
      </c>
      <c r="E11" s="2">
        <v>0.763</v>
      </c>
      <c r="F11" s="8"/>
      <c r="G11" s="18"/>
      <c r="H11" s="3"/>
    </row>
    <row r="12" spans="1:8">
      <c r="A12" s="2">
        <v>40</v>
      </c>
      <c r="B12" s="2">
        <v>3</v>
      </c>
      <c r="C12" s="2">
        <v>1</v>
      </c>
      <c r="D12" s="2">
        <v>0.00097</v>
      </c>
      <c r="E12" s="2">
        <v>0.783</v>
      </c>
      <c r="F12" s="8"/>
      <c r="G12" s="18"/>
      <c r="H12" s="3"/>
    </row>
    <row r="13" spans="1:8">
      <c r="A13" s="2">
        <v>50</v>
      </c>
      <c r="B13" s="2">
        <v>0.3</v>
      </c>
      <c r="C13" s="2">
        <v>0</v>
      </c>
      <c r="D13" s="2">
        <v>0.00299</v>
      </c>
      <c r="E13" s="2">
        <v>0.856</v>
      </c>
      <c r="F13" s="8"/>
      <c r="G13" s="18"/>
      <c r="H13" s="3"/>
    </row>
    <row r="14" spans="1:8">
      <c r="A14" s="2">
        <v>50</v>
      </c>
      <c r="B14" s="2">
        <v>0.3</v>
      </c>
      <c r="C14" s="2">
        <v>2</v>
      </c>
      <c r="D14" s="2">
        <v>0.0027</v>
      </c>
      <c r="E14" s="2">
        <v>0.842</v>
      </c>
      <c r="F14" s="8"/>
      <c r="G14" s="18"/>
      <c r="H14" s="3"/>
    </row>
    <row r="15" spans="1:8">
      <c r="A15" s="2">
        <v>50</v>
      </c>
      <c r="B15" s="2">
        <v>0.3</v>
      </c>
      <c r="C15" s="2">
        <v>1</v>
      </c>
      <c r="D15" s="2">
        <v>0.00237</v>
      </c>
      <c r="E15" s="2">
        <v>0.851</v>
      </c>
      <c r="F15" s="8"/>
      <c r="G15" s="18"/>
      <c r="H15" s="3"/>
    </row>
    <row r="16" spans="1:8">
      <c r="A16" s="2">
        <v>50</v>
      </c>
      <c r="B16" s="2">
        <v>1</v>
      </c>
      <c r="C16" s="2">
        <v>0</v>
      </c>
      <c r="D16" s="2">
        <v>0.00203</v>
      </c>
      <c r="E16" s="2">
        <v>0.806</v>
      </c>
      <c r="F16" s="8"/>
      <c r="G16" s="18"/>
      <c r="H16" s="3"/>
    </row>
    <row r="17" spans="1:8">
      <c r="A17" s="2">
        <v>50</v>
      </c>
      <c r="B17" s="2">
        <v>1</v>
      </c>
      <c r="C17" s="2">
        <v>2</v>
      </c>
      <c r="D17" s="2">
        <v>0.00174</v>
      </c>
      <c r="E17" s="2">
        <v>0.783</v>
      </c>
      <c r="F17" s="8"/>
      <c r="G17" s="18"/>
      <c r="H17" s="3"/>
    </row>
    <row r="18" spans="1:8">
      <c r="A18" s="2">
        <v>50</v>
      </c>
      <c r="B18" s="2">
        <v>1</v>
      </c>
      <c r="C18" s="2">
        <v>1</v>
      </c>
      <c r="D18" s="2">
        <v>0.00152</v>
      </c>
      <c r="E18" s="2">
        <v>0.794</v>
      </c>
      <c r="F18" s="8"/>
      <c r="G18" s="18"/>
      <c r="H18" s="3"/>
    </row>
    <row r="19" spans="1:8">
      <c r="A19" s="2">
        <v>50</v>
      </c>
      <c r="B19" s="2">
        <v>2</v>
      </c>
      <c r="C19" s="2">
        <v>0</v>
      </c>
      <c r="D19" s="2">
        <v>0.00185</v>
      </c>
      <c r="E19" s="2">
        <v>0.771</v>
      </c>
      <c r="F19" s="8"/>
      <c r="G19" s="18"/>
      <c r="H19" s="3"/>
    </row>
    <row r="20" spans="1:8">
      <c r="A20" s="2">
        <v>50</v>
      </c>
      <c r="B20" s="2">
        <v>2</v>
      </c>
      <c r="C20" s="2">
        <v>2</v>
      </c>
      <c r="D20" s="2">
        <v>0.00143</v>
      </c>
      <c r="E20" s="2">
        <v>0.733</v>
      </c>
      <c r="F20" s="8"/>
      <c r="G20" s="18"/>
      <c r="H20" s="3"/>
    </row>
    <row r="21" spans="1:8">
      <c r="A21" s="2">
        <v>50</v>
      </c>
      <c r="B21" s="2">
        <v>2</v>
      </c>
      <c r="C21" s="2">
        <v>1</v>
      </c>
      <c r="D21" s="2">
        <v>0.00126</v>
      </c>
      <c r="E21" s="2">
        <v>0.75</v>
      </c>
      <c r="F21" s="8"/>
      <c r="G21" s="18"/>
      <c r="H21" s="3"/>
    </row>
    <row r="22" spans="1:8">
      <c r="A22" s="2">
        <v>50</v>
      </c>
      <c r="B22" s="2">
        <v>3</v>
      </c>
      <c r="C22" s="2">
        <v>0</v>
      </c>
      <c r="D22" s="2">
        <v>0.00137</v>
      </c>
      <c r="E22" s="2">
        <v>0.725</v>
      </c>
      <c r="F22" s="8"/>
      <c r="G22" s="18"/>
      <c r="H22" s="3"/>
    </row>
    <row r="23" spans="1:8">
      <c r="A23" s="2">
        <v>50</v>
      </c>
      <c r="B23" s="2">
        <v>3</v>
      </c>
      <c r="C23" s="2">
        <v>2</v>
      </c>
      <c r="D23" s="2">
        <v>0.00113</v>
      </c>
      <c r="E23" s="2">
        <v>0.682</v>
      </c>
      <c r="F23" s="8"/>
      <c r="G23" s="18"/>
      <c r="H23" s="3"/>
    </row>
    <row r="24" spans="1:8">
      <c r="A24" s="2">
        <v>50</v>
      </c>
      <c r="B24" s="2">
        <v>3</v>
      </c>
      <c r="C24" s="2">
        <v>1</v>
      </c>
      <c r="D24" s="2">
        <v>0.00092</v>
      </c>
      <c r="E24" s="2">
        <v>0.705</v>
      </c>
      <c r="F24" s="8"/>
      <c r="G24" s="18"/>
      <c r="H24" s="3"/>
    </row>
    <row r="25" spans="1:8">
      <c r="A25" s="2">
        <v>60</v>
      </c>
      <c r="B25" s="2">
        <v>0.3</v>
      </c>
      <c r="C25" s="2">
        <v>0</v>
      </c>
      <c r="D25" s="2">
        <v>0.00314</v>
      </c>
      <c r="E25" s="2">
        <v>0.801</v>
      </c>
      <c r="F25" s="8"/>
      <c r="G25" s="18"/>
      <c r="H25" s="3"/>
    </row>
    <row r="26" spans="1:8">
      <c r="A26" s="2">
        <v>60</v>
      </c>
      <c r="B26" s="2">
        <v>0.3</v>
      </c>
      <c r="C26" s="2">
        <v>2</v>
      </c>
      <c r="D26" s="2">
        <v>0.00278</v>
      </c>
      <c r="E26" s="2">
        <v>0.791</v>
      </c>
      <c r="F26" s="8"/>
      <c r="G26" s="18"/>
      <c r="H26" s="3"/>
    </row>
    <row r="27" spans="1:8">
      <c r="A27" s="2">
        <v>60</v>
      </c>
      <c r="B27" s="2">
        <v>0.3</v>
      </c>
      <c r="C27" s="2">
        <v>1</v>
      </c>
      <c r="D27" s="2">
        <v>0.00245</v>
      </c>
      <c r="E27" s="2">
        <v>0.795</v>
      </c>
      <c r="F27" s="8"/>
      <c r="G27" s="18"/>
      <c r="H27" s="3"/>
    </row>
    <row r="28" spans="1:8">
      <c r="A28" s="2">
        <v>60</v>
      </c>
      <c r="B28" s="2">
        <v>1</v>
      </c>
      <c r="C28" s="2">
        <v>0</v>
      </c>
      <c r="D28" s="2">
        <v>0.00209</v>
      </c>
      <c r="E28" s="2">
        <v>0.741</v>
      </c>
      <c r="F28" s="8"/>
      <c r="G28" s="18"/>
      <c r="H28" s="3"/>
    </row>
    <row r="29" spans="1:8">
      <c r="A29" s="2">
        <v>60</v>
      </c>
      <c r="B29" s="2">
        <v>1</v>
      </c>
      <c r="C29" s="2">
        <v>2</v>
      </c>
      <c r="D29" s="2">
        <v>0.00177</v>
      </c>
      <c r="E29" s="2">
        <v>0.712</v>
      </c>
      <c r="F29" s="8"/>
      <c r="G29" s="18"/>
      <c r="H29" s="3"/>
    </row>
    <row r="30" spans="1:8">
      <c r="A30" s="2">
        <v>60</v>
      </c>
      <c r="B30" s="2">
        <v>1</v>
      </c>
      <c r="C30" s="2">
        <v>1</v>
      </c>
      <c r="D30" s="2">
        <v>0.0016</v>
      </c>
      <c r="E30" s="2">
        <v>0.729</v>
      </c>
      <c r="F30" s="8"/>
      <c r="G30" s="18"/>
      <c r="H30" s="3"/>
    </row>
    <row r="31" spans="1:8">
      <c r="A31" s="2">
        <v>60</v>
      </c>
      <c r="B31" s="2">
        <v>2</v>
      </c>
      <c r="C31" s="2">
        <v>0</v>
      </c>
      <c r="D31" s="2">
        <v>0.0017</v>
      </c>
      <c r="E31" s="2">
        <v>0.696</v>
      </c>
      <c r="F31" s="8"/>
      <c r="G31" s="18"/>
      <c r="H31" s="3"/>
    </row>
    <row r="32" spans="1:8">
      <c r="A32" s="2">
        <v>60</v>
      </c>
      <c r="B32" s="2">
        <v>2</v>
      </c>
      <c r="C32" s="2">
        <v>2</v>
      </c>
      <c r="D32" s="2">
        <v>0.00149</v>
      </c>
      <c r="E32" s="2">
        <v>0.658</v>
      </c>
      <c r="F32" s="8"/>
      <c r="G32" s="18"/>
      <c r="H32" s="3"/>
    </row>
    <row r="33" spans="1:8">
      <c r="A33" s="2">
        <v>60</v>
      </c>
      <c r="B33" s="2">
        <v>2</v>
      </c>
      <c r="C33" s="2">
        <v>1</v>
      </c>
      <c r="D33" s="2">
        <v>0.00124</v>
      </c>
      <c r="E33" s="2">
        <v>0.677</v>
      </c>
      <c r="F33" s="8"/>
      <c r="G33" s="18"/>
      <c r="H33" s="3"/>
    </row>
    <row r="34" spans="1:8">
      <c r="A34" s="2">
        <v>60</v>
      </c>
      <c r="B34" s="2">
        <v>3</v>
      </c>
      <c r="C34" s="2">
        <v>0</v>
      </c>
      <c r="D34" s="2">
        <v>0.0013</v>
      </c>
      <c r="E34" s="2">
        <v>0.651</v>
      </c>
      <c r="F34" s="8"/>
      <c r="G34" s="18"/>
      <c r="H34" s="3"/>
    </row>
    <row r="35" spans="1:8">
      <c r="A35" s="2">
        <v>60</v>
      </c>
      <c r="B35" s="2">
        <v>3</v>
      </c>
      <c r="C35" s="2">
        <v>2</v>
      </c>
      <c r="D35" s="2">
        <v>0.00121</v>
      </c>
      <c r="E35" s="2">
        <v>0.602</v>
      </c>
      <c r="F35" s="8"/>
      <c r="G35" s="18"/>
      <c r="H35" s="3"/>
    </row>
    <row r="36" spans="1:8">
      <c r="A36" s="2">
        <v>60</v>
      </c>
      <c r="B36" s="2">
        <v>3</v>
      </c>
      <c r="C36" s="2">
        <v>1</v>
      </c>
      <c r="D36" s="2">
        <v>0.00088</v>
      </c>
      <c r="E36" s="2">
        <v>0.627</v>
      </c>
      <c r="F36" s="8"/>
      <c r="G36" s="18"/>
      <c r="H36" s="3"/>
    </row>
    <row r="37" spans="1:8">
      <c r="A37" s="2">
        <v>70</v>
      </c>
      <c r="B37" s="2">
        <v>0.3</v>
      </c>
      <c r="C37" s="2">
        <v>0</v>
      </c>
      <c r="D37" s="2">
        <v>0.00335</v>
      </c>
      <c r="E37" s="2">
        <v>0.706</v>
      </c>
      <c r="F37" s="8"/>
      <c r="G37" s="18"/>
      <c r="H37" s="3"/>
    </row>
    <row r="38" spans="1:8">
      <c r="A38" s="2">
        <v>70</v>
      </c>
      <c r="B38" s="2">
        <v>0.3</v>
      </c>
      <c r="C38" s="2">
        <v>2</v>
      </c>
      <c r="D38" s="2">
        <v>0.00291</v>
      </c>
      <c r="E38" s="2">
        <v>0.695</v>
      </c>
      <c r="F38" s="8"/>
      <c r="G38" s="18"/>
      <c r="H38" s="3"/>
    </row>
    <row r="39" spans="1:8">
      <c r="A39" s="2">
        <v>70</v>
      </c>
      <c r="B39" s="2">
        <v>0.3</v>
      </c>
      <c r="C39" s="2">
        <v>1</v>
      </c>
      <c r="D39" s="2">
        <v>0.00259</v>
      </c>
      <c r="E39" s="2">
        <v>0.699</v>
      </c>
      <c r="F39" s="8"/>
      <c r="G39" s="18"/>
      <c r="H39" s="3"/>
    </row>
    <row r="40" spans="1:8">
      <c r="A40" s="2">
        <v>70</v>
      </c>
      <c r="B40" s="2">
        <v>1</v>
      </c>
      <c r="C40" s="2">
        <v>0</v>
      </c>
      <c r="D40" s="2">
        <v>0.00219</v>
      </c>
      <c r="E40" s="2">
        <v>0.641</v>
      </c>
      <c r="F40" s="8"/>
      <c r="G40" s="18"/>
      <c r="H40" s="3"/>
    </row>
    <row r="41" spans="1:8">
      <c r="A41" s="2">
        <v>70</v>
      </c>
      <c r="B41" s="2">
        <v>1</v>
      </c>
      <c r="C41" s="2">
        <v>2</v>
      </c>
      <c r="D41" s="2">
        <v>0.00184</v>
      </c>
      <c r="E41" s="2">
        <v>0.609</v>
      </c>
      <c r="F41" s="8"/>
      <c r="G41" s="18"/>
      <c r="H41" s="3"/>
    </row>
    <row r="42" spans="1:8">
      <c r="A42" s="2">
        <v>70</v>
      </c>
      <c r="B42" s="2">
        <v>1</v>
      </c>
      <c r="C42" s="2">
        <v>1</v>
      </c>
      <c r="D42" s="2">
        <v>0.00163</v>
      </c>
      <c r="E42" s="2">
        <v>0.623</v>
      </c>
      <c r="F42" s="8"/>
      <c r="G42" s="18"/>
      <c r="H42" s="3"/>
    </row>
    <row r="43" spans="1:8">
      <c r="A43" s="2">
        <v>70</v>
      </c>
      <c r="B43" s="2">
        <v>2</v>
      </c>
      <c r="C43" s="2">
        <v>0</v>
      </c>
      <c r="D43" s="2">
        <v>0.00177</v>
      </c>
      <c r="E43" s="2">
        <v>0.573</v>
      </c>
      <c r="F43" s="8"/>
      <c r="G43" s="18"/>
      <c r="H43" s="3"/>
    </row>
    <row r="44" spans="1:8">
      <c r="A44" s="2">
        <v>70</v>
      </c>
      <c r="B44" s="2">
        <v>2</v>
      </c>
      <c r="C44" s="2">
        <v>2</v>
      </c>
      <c r="D44" s="2">
        <v>0.00156</v>
      </c>
      <c r="E44" s="2">
        <v>0.531</v>
      </c>
      <c r="F44" s="8"/>
      <c r="G44" s="18"/>
      <c r="H44" s="3"/>
    </row>
    <row r="45" spans="1:8">
      <c r="A45" s="2">
        <v>70</v>
      </c>
      <c r="B45" s="2">
        <v>2</v>
      </c>
      <c r="C45" s="2">
        <v>1</v>
      </c>
      <c r="D45" s="2">
        <v>0.00132</v>
      </c>
      <c r="E45" s="2">
        <v>0.551</v>
      </c>
      <c r="F45" s="8"/>
      <c r="G45" s="18"/>
      <c r="H45" s="3"/>
    </row>
    <row r="46" spans="1:8">
      <c r="A46" s="2">
        <v>70</v>
      </c>
      <c r="B46" s="2">
        <v>3</v>
      </c>
      <c r="C46" s="2">
        <v>0</v>
      </c>
      <c r="D46" s="2">
        <v>0.00139</v>
      </c>
      <c r="E46" s="2">
        <v>0.541</v>
      </c>
      <c r="F46" s="8"/>
      <c r="G46" s="18"/>
      <c r="H46" s="3"/>
    </row>
    <row r="47" spans="1:8">
      <c r="A47" s="2">
        <v>70</v>
      </c>
      <c r="B47" s="2">
        <v>3</v>
      </c>
      <c r="C47" s="2">
        <v>2</v>
      </c>
      <c r="D47" s="2">
        <v>0.00128</v>
      </c>
      <c r="E47" s="2">
        <v>0.492</v>
      </c>
      <c r="F47" s="8"/>
      <c r="G47" s="18"/>
      <c r="H47" s="3"/>
    </row>
    <row r="48" spans="1:8">
      <c r="A48" s="2">
        <v>70</v>
      </c>
      <c r="B48" s="2">
        <v>3</v>
      </c>
      <c r="C48" s="2">
        <v>1</v>
      </c>
      <c r="D48" s="2">
        <v>0.001</v>
      </c>
      <c r="E48" s="2">
        <v>0.519</v>
      </c>
      <c r="F48" s="8"/>
      <c r="G48" s="18"/>
      <c r="H48" s="3"/>
    </row>
    <row r="49" spans="1:8">
      <c r="A49" s="2">
        <v>80</v>
      </c>
      <c r="B49" s="2">
        <v>0.3</v>
      </c>
      <c r="C49" s="2">
        <v>0</v>
      </c>
      <c r="D49" s="2">
        <v>0.00356</v>
      </c>
      <c r="E49" s="2">
        <v>0.611</v>
      </c>
      <c r="F49" s="8"/>
      <c r="G49" s="18"/>
      <c r="H49" s="3"/>
    </row>
    <row r="50" spans="1:8">
      <c r="A50" s="2">
        <v>80</v>
      </c>
      <c r="B50" s="2">
        <v>0.3</v>
      </c>
      <c r="C50" s="2">
        <v>2</v>
      </c>
      <c r="D50" s="2">
        <v>0.00304</v>
      </c>
      <c r="E50" s="2">
        <v>0.599</v>
      </c>
      <c r="F50" s="8"/>
      <c r="G50" s="18"/>
      <c r="H50" s="3"/>
    </row>
    <row r="51" spans="1:8">
      <c r="A51" s="2">
        <v>80</v>
      </c>
      <c r="B51" s="2">
        <v>0.3</v>
      </c>
      <c r="C51" s="2">
        <v>1</v>
      </c>
      <c r="D51" s="2">
        <v>0.00273</v>
      </c>
      <c r="E51" s="2">
        <v>0.603</v>
      </c>
      <c r="F51" s="8"/>
      <c r="G51" s="18"/>
      <c r="H51" s="3"/>
    </row>
    <row r="52" spans="1:8">
      <c r="A52" s="2">
        <v>80</v>
      </c>
      <c r="B52" s="2">
        <v>1</v>
      </c>
      <c r="C52" s="2">
        <v>0</v>
      </c>
      <c r="D52" s="2">
        <v>0.00228</v>
      </c>
      <c r="E52" s="2">
        <v>0.541</v>
      </c>
      <c r="F52" s="8"/>
      <c r="G52" s="18"/>
      <c r="H52" s="3"/>
    </row>
    <row r="53" spans="1:8">
      <c r="A53" s="2">
        <v>80</v>
      </c>
      <c r="B53" s="2">
        <v>1</v>
      </c>
      <c r="C53" s="2">
        <v>2</v>
      </c>
      <c r="D53" s="2">
        <v>0.00191</v>
      </c>
      <c r="E53" s="2">
        <v>0.504</v>
      </c>
      <c r="F53" s="8"/>
      <c r="G53" s="18"/>
      <c r="H53" s="3"/>
    </row>
    <row r="54" spans="1:8">
      <c r="A54" s="2">
        <v>80</v>
      </c>
      <c r="B54" s="2">
        <v>1</v>
      </c>
      <c r="C54" s="2">
        <v>1</v>
      </c>
      <c r="D54" s="2">
        <v>0.00165</v>
      </c>
      <c r="E54" s="2">
        <v>0.52</v>
      </c>
      <c r="F54" s="8"/>
      <c r="G54" s="18"/>
      <c r="H54" s="3"/>
    </row>
    <row r="55" spans="1:8">
      <c r="A55" s="2">
        <v>80</v>
      </c>
      <c r="B55" s="2">
        <v>2</v>
      </c>
      <c r="C55" s="2">
        <v>0</v>
      </c>
      <c r="D55" s="2">
        <v>0.00188</v>
      </c>
      <c r="E55" s="2">
        <v>0.486</v>
      </c>
      <c r="F55" s="8"/>
      <c r="G55" s="18"/>
      <c r="H55" s="3"/>
    </row>
    <row r="56" spans="1:8">
      <c r="A56" s="2">
        <v>80</v>
      </c>
      <c r="B56" s="2">
        <v>2</v>
      </c>
      <c r="C56" s="2">
        <v>2</v>
      </c>
      <c r="D56" s="2">
        <v>0.00163</v>
      </c>
      <c r="E56" s="2">
        <v>0.443</v>
      </c>
      <c r="F56" s="8"/>
      <c r="G56" s="18"/>
      <c r="H56" s="3"/>
    </row>
    <row r="57" spans="1:8">
      <c r="A57" s="2">
        <v>80</v>
      </c>
      <c r="B57" s="2">
        <v>2</v>
      </c>
      <c r="C57" s="2">
        <v>1</v>
      </c>
      <c r="D57" s="2">
        <v>0.00139</v>
      </c>
      <c r="E57" s="2">
        <v>0.466</v>
      </c>
      <c r="F57" s="8"/>
      <c r="G57" s="18"/>
      <c r="H57" s="3"/>
    </row>
    <row r="58" spans="1:8">
      <c r="A58" s="2">
        <v>80</v>
      </c>
      <c r="B58" s="2">
        <v>3</v>
      </c>
      <c r="C58" s="2">
        <v>0</v>
      </c>
      <c r="D58" s="2">
        <v>0.00147</v>
      </c>
      <c r="E58" s="2">
        <v>0.431</v>
      </c>
      <c r="F58" s="8"/>
      <c r="G58" s="18"/>
      <c r="H58" s="3"/>
    </row>
    <row r="59" spans="1:8">
      <c r="A59" s="2">
        <v>80</v>
      </c>
      <c r="B59" s="2">
        <v>3</v>
      </c>
      <c r="C59" s="2">
        <v>2</v>
      </c>
      <c r="D59" s="2">
        <v>0.00134</v>
      </c>
      <c r="E59" s="2">
        <v>0.381</v>
      </c>
      <c r="F59" s="8"/>
      <c r="G59" s="18"/>
      <c r="H59" s="3"/>
    </row>
    <row r="60" spans="1:8">
      <c r="A60" s="2">
        <v>80</v>
      </c>
      <c r="B60" s="2">
        <v>3</v>
      </c>
      <c r="C60" s="2">
        <v>1</v>
      </c>
      <c r="D60" s="2">
        <v>0.00112</v>
      </c>
      <c r="E60" s="2">
        <v>0.411</v>
      </c>
      <c r="F60" s="8"/>
      <c r="G60" s="18"/>
      <c r="H60" s="3"/>
    </row>
    <row r="61" spans="1:8">
      <c r="A61" s="1"/>
      <c r="B61" s="1"/>
      <c r="C61" s="1"/>
      <c r="D61" s="1"/>
      <c r="F61" s="8"/>
      <c r="G61" s="18"/>
      <c r="H61" s="3"/>
    </row>
    <row r="62" spans="1:8">
      <c r="A62" s="1"/>
      <c r="B62" s="1"/>
      <c r="C62" s="1"/>
      <c r="D62" s="1"/>
      <c r="F62" s="8"/>
      <c r="G62" s="18"/>
      <c r="H62" s="3"/>
    </row>
    <row r="63" spans="1:8">
      <c r="A63" s="1"/>
      <c r="B63" s="1"/>
      <c r="C63" s="1"/>
      <c r="D63" s="1"/>
      <c r="F63" s="8"/>
      <c r="G63" s="18"/>
      <c r="H63" s="3"/>
    </row>
    <row r="64" spans="1:8">
      <c r="A64" s="1"/>
      <c r="B64" s="1"/>
      <c r="C64" s="1"/>
      <c r="D64" s="1"/>
      <c r="F64" s="8"/>
      <c r="G64" s="18"/>
      <c r="H64" s="3"/>
    </row>
    <row r="65" spans="1:8">
      <c r="A65" s="1"/>
      <c r="B65" s="1"/>
      <c r="C65" s="1"/>
      <c r="D65" s="1"/>
      <c r="F65" s="8"/>
      <c r="G65" s="18"/>
      <c r="H65" s="3"/>
    </row>
    <row r="66" spans="1:8">
      <c r="A66" s="1"/>
      <c r="B66" s="1"/>
      <c r="C66" s="1"/>
      <c r="D66" s="1"/>
      <c r="F66" s="8"/>
      <c r="G66" s="18"/>
      <c r="H66" s="3"/>
    </row>
    <row r="67" spans="1:8">
      <c r="A67" s="1"/>
      <c r="B67" s="1"/>
      <c r="C67" s="1"/>
      <c r="D67" s="1"/>
      <c r="F67" s="8"/>
      <c r="G67" s="18"/>
      <c r="H67" s="3"/>
    </row>
    <row r="68" spans="1:8">
      <c r="A68" s="1"/>
      <c r="B68" s="1"/>
      <c r="C68" s="1"/>
      <c r="D68" s="1"/>
      <c r="F68" s="8"/>
      <c r="G68" s="18"/>
      <c r="H68" s="3"/>
    </row>
    <row r="69" spans="1:8">
      <c r="A69" s="1"/>
      <c r="B69" s="1"/>
      <c r="C69" s="1"/>
      <c r="D69" s="1"/>
      <c r="F69" s="8"/>
      <c r="G69" s="18"/>
      <c r="H69" s="3"/>
    </row>
    <row r="70" spans="1:8">
      <c r="A70" s="1"/>
      <c r="B70" s="1"/>
      <c r="C70" s="1"/>
      <c r="D70" s="1"/>
      <c r="F70" s="8"/>
      <c r="G70" s="18"/>
      <c r="H70" s="3"/>
    </row>
    <row r="71" spans="1:8">
      <c r="A71" s="1"/>
      <c r="B71" s="1"/>
      <c r="C71" s="1"/>
      <c r="D71" s="1"/>
      <c r="F71" s="8"/>
      <c r="G71" s="18"/>
      <c r="H71" s="3"/>
    </row>
    <row r="72" spans="1:8">
      <c r="A72" s="1"/>
      <c r="B72" s="1"/>
      <c r="C72" s="1"/>
      <c r="D72" s="1"/>
      <c r="F72" s="8"/>
      <c r="G72" s="18"/>
      <c r="H72" s="3"/>
    </row>
    <row r="73" spans="1:8">
      <c r="A73" s="1"/>
      <c r="B73" s="1"/>
      <c r="C73" s="1"/>
      <c r="D73" s="1"/>
      <c r="F73" s="8"/>
      <c r="G73" s="18"/>
      <c r="H73" s="3"/>
    </row>
    <row r="74" spans="1:8">
      <c r="A74" s="1"/>
      <c r="B74" s="1"/>
      <c r="C74" s="1"/>
      <c r="D74" s="1"/>
      <c r="F74" s="8"/>
      <c r="G74" s="18"/>
      <c r="H74" s="3"/>
    </row>
    <row r="75" spans="1:8">
      <c r="A75" s="1"/>
      <c r="B75" s="1"/>
      <c r="C75" s="1"/>
      <c r="D75" s="1"/>
      <c r="F75" s="8"/>
      <c r="G75" s="18"/>
      <c r="H75" s="3"/>
    </row>
    <row r="76" spans="1:8">
      <c r="A76" s="1"/>
      <c r="B76" s="1"/>
      <c r="C76" s="1"/>
      <c r="D76" s="1"/>
      <c r="F76" s="8"/>
      <c r="G76" s="18"/>
      <c r="H76" s="3"/>
    </row>
    <row r="77" spans="1:8">
      <c r="A77" s="1"/>
      <c r="B77" s="1"/>
      <c r="C77" s="1"/>
      <c r="D77" s="1"/>
      <c r="F77" s="8"/>
      <c r="G77" s="18"/>
      <c r="H77" s="3"/>
    </row>
    <row r="78" spans="1:8">
      <c r="A78" s="1"/>
      <c r="B78" s="1"/>
      <c r="C78" s="1"/>
      <c r="D78" s="1"/>
      <c r="F78" s="8"/>
      <c r="G78" s="18"/>
      <c r="H78" s="3"/>
    </row>
    <row r="79" spans="1:8">
      <c r="A79" s="1"/>
      <c r="B79" s="1"/>
      <c r="C79" s="1"/>
      <c r="D79" s="1"/>
      <c r="F79" s="8"/>
      <c r="G79" s="18"/>
      <c r="H79" s="3"/>
    </row>
    <row r="80" spans="1:8">
      <c r="A80" s="1"/>
      <c r="B80" s="1"/>
      <c r="C80" s="1"/>
      <c r="D80" s="1"/>
      <c r="F80" s="8"/>
      <c r="G80" s="18"/>
      <c r="H80" s="3"/>
    </row>
    <row r="81" spans="1:8">
      <c r="A81" s="1"/>
      <c r="B81" s="1"/>
      <c r="C81" s="1"/>
      <c r="D81" s="1"/>
      <c r="F81" s="8"/>
      <c r="G81" s="18"/>
      <c r="H81" s="3"/>
    </row>
    <row r="82" spans="1:8">
      <c r="A82" s="1"/>
      <c r="B82" s="1"/>
      <c r="C82" s="1"/>
      <c r="D82" s="1"/>
      <c r="F82" s="8"/>
      <c r="G82" s="18"/>
      <c r="H82" s="3"/>
    </row>
    <row r="83" spans="1:8">
      <c r="A83" s="1"/>
      <c r="B83" s="1"/>
      <c r="C83" s="1"/>
      <c r="D83" s="1"/>
      <c r="F83" s="8"/>
      <c r="G83" s="18"/>
      <c r="H83" s="3"/>
    </row>
    <row r="84" spans="1:8">
      <c r="A84" s="1"/>
      <c r="B84" s="1"/>
      <c r="C84" s="1"/>
      <c r="D84" s="1"/>
      <c r="F84" s="8"/>
      <c r="G84" s="18"/>
      <c r="H84" s="3"/>
    </row>
    <row r="85" spans="1:8">
      <c r="A85" s="1"/>
      <c r="B85" s="1"/>
      <c r="C85" s="1"/>
      <c r="D85" s="1"/>
      <c r="F85" s="8"/>
      <c r="G85" s="18"/>
      <c r="H85" s="3"/>
    </row>
    <row r="86" spans="1:8">
      <c r="A86" s="1"/>
      <c r="B86" s="1"/>
      <c r="C86" s="1"/>
      <c r="D86" s="1"/>
      <c r="F86" s="8"/>
      <c r="G86" s="18"/>
      <c r="H86" s="3"/>
    </row>
    <row r="87" spans="1:8">
      <c r="A87" s="1"/>
      <c r="B87" s="1"/>
      <c r="C87" s="1"/>
      <c r="D87" s="1"/>
      <c r="F87" s="8"/>
      <c r="G87" s="18"/>
      <c r="H87" s="3"/>
    </row>
    <row r="88" spans="1:8">
      <c r="A88" s="1"/>
      <c r="B88" s="1"/>
      <c r="C88" s="1"/>
      <c r="D88" s="1"/>
      <c r="F88" s="8"/>
      <c r="G88" s="18"/>
      <c r="H88" s="3"/>
    </row>
    <row r="89" spans="1:8">
      <c r="A89" s="1"/>
      <c r="B89" s="1"/>
      <c r="C89" s="1"/>
      <c r="D89" s="1"/>
      <c r="F89" s="8"/>
      <c r="G89" s="18"/>
      <c r="H89" s="3"/>
    </row>
    <row r="90" spans="1:8">
      <c r="A90" s="1"/>
      <c r="B90" s="1"/>
      <c r="C90" s="1"/>
      <c r="D90" s="1"/>
      <c r="F90" s="8"/>
      <c r="G90" s="18"/>
      <c r="H90" s="3"/>
    </row>
    <row r="91" spans="1:8">
      <c r="A91" s="1"/>
      <c r="B91" s="1"/>
      <c r="C91" s="1"/>
      <c r="D91" s="1"/>
      <c r="F91" s="8"/>
      <c r="G91" s="18"/>
      <c r="H91" s="3"/>
    </row>
    <row r="92" spans="1:8">
      <c r="A92" s="1"/>
      <c r="B92" s="1"/>
      <c r="C92" s="1"/>
      <c r="D92" s="1"/>
      <c r="F92" s="8"/>
      <c r="G92" s="18"/>
      <c r="H92" s="3"/>
    </row>
    <row r="93" spans="1:8">
      <c r="A93" s="1"/>
      <c r="B93" s="1"/>
      <c r="C93" s="1"/>
      <c r="D93" s="1"/>
      <c r="F93" s="8"/>
      <c r="G93" s="18"/>
      <c r="H93" s="3"/>
    </row>
    <row r="94" spans="1:8">
      <c r="A94" s="1"/>
      <c r="B94" s="1"/>
      <c r="C94" s="1"/>
      <c r="D94" s="1"/>
      <c r="F94" s="8"/>
      <c r="G94" s="18"/>
      <c r="H94" s="3"/>
    </row>
    <row r="95" spans="1:8">
      <c r="A95" s="1"/>
      <c r="B95" s="1"/>
      <c r="C95" s="1"/>
      <c r="D95" s="1"/>
      <c r="F95" s="8"/>
      <c r="G95" s="18"/>
      <c r="H95" s="3"/>
    </row>
    <row r="96" spans="1:8">
      <c r="A96" s="1"/>
      <c r="B96" s="1"/>
      <c r="C96" s="1"/>
      <c r="D96" s="1"/>
      <c r="F96" s="8"/>
      <c r="G96" s="18"/>
      <c r="H96" s="3"/>
    </row>
    <row r="97" spans="1:8">
      <c r="A97" s="1"/>
      <c r="B97" s="1"/>
      <c r="C97" s="1"/>
      <c r="D97" s="1"/>
      <c r="F97" s="8"/>
      <c r="G97" s="18"/>
      <c r="H97" s="3"/>
    </row>
    <row r="98" spans="1:8">
      <c r="A98" s="1"/>
      <c r="B98" s="1"/>
      <c r="C98" s="1"/>
      <c r="D98" s="1"/>
      <c r="F98" s="8"/>
      <c r="G98" s="18"/>
      <c r="H98" s="3"/>
    </row>
    <row r="99" spans="1:8">
      <c r="A99" s="1"/>
      <c r="B99" s="1"/>
      <c r="C99" s="1"/>
      <c r="D99" s="1"/>
      <c r="F99" s="8"/>
      <c r="G99" s="18"/>
      <c r="H99" s="3"/>
    </row>
    <row r="100" spans="1:8">
      <c r="A100" s="1"/>
      <c r="B100" s="1"/>
      <c r="C100" s="1"/>
      <c r="D100" s="1"/>
      <c r="F100" s="8"/>
      <c r="G100" s="18"/>
      <c r="H100" s="3"/>
    </row>
    <row r="101" spans="1:8">
      <c r="A101" s="1"/>
      <c r="B101" s="1"/>
      <c r="C101" s="1"/>
      <c r="D101" s="1"/>
      <c r="F101" s="8"/>
      <c r="G101" s="18"/>
      <c r="H101" s="3"/>
    </row>
    <row r="102" spans="1:8">
      <c r="A102" s="1"/>
      <c r="B102" s="1"/>
      <c r="C102" s="1"/>
      <c r="D102" s="1"/>
      <c r="F102" s="8"/>
      <c r="G102" s="18"/>
      <c r="H102" s="3"/>
    </row>
    <row r="103" spans="1:8">
      <c r="A103" s="1"/>
      <c r="B103" s="1"/>
      <c r="C103" s="1"/>
      <c r="D103" s="1"/>
      <c r="F103" s="8"/>
      <c r="G103" s="18"/>
      <c r="H103" s="3"/>
    </row>
    <row r="104" spans="1:8">
      <c r="A104" s="1"/>
      <c r="B104" s="1"/>
      <c r="C104" s="1"/>
      <c r="D104" s="1"/>
      <c r="F104" s="8"/>
      <c r="G104" s="18"/>
      <c r="H104" s="3"/>
    </row>
    <row r="105" spans="1:8">
      <c r="A105" s="1"/>
      <c r="B105" s="1"/>
      <c r="C105" s="1"/>
      <c r="D105" s="1"/>
      <c r="F105" s="8"/>
      <c r="G105" s="18"/>
      <c r="H105" s="3"/>
    </row>
    <row r="106" spans="1:8">
      <c r="A106" s="1"/>
      <c r="B106" s="1"/>
      <c r="C106" s="1"/>
      <c r="D106" s="1"/>
      <c r="F106" s="8"/>
      <c r="G106" s="18"/>
      <c r="H106" s="3"/>
    </row>
    <row r="107" spans="1:8">
      <c r="A107" s="1"/>
      <c r="B107" s="1"/>
      <c r="C107" s="1"/>
      <c r="D107" s="1"/>
      <c r="F107" s="8"/>
      <c r="G107" s="18"/>
      <c r="H107" s="3"/>
    </row>
    <row r="108" spans="1:8">
      <c r="A108" s="1"/>
      <c r="B108" s="1"/>
      <c r="C108" s="1"/>
      <c r="D108" s="1"/>
      <c r="F108" s="8"/>
      <c r="G108" s="18"/>
      <c r="H108" s="3"/>
    </row>
    <row r="109" spans="1:8">
      <c r="A109" s="1"/>
      <c r="B109" s="1"/>
      <c r="C109" s="1"/>
      <c r="D109" s="1"/>
      <c r="F109" s="8"/>
      <c r="G109" s="18"/>
      <c r="H109" s="3"/>
    </row>
    <row r="110" spans="1:8">
      <c r="A110" s="1"/>
      <c r="B110" s="1"/>
      <c r="C110" s="1"/>
      <c r="D110" s="1"/>
      <c r="F110" s="8"/>
      <c r="G110" s="18"/>
      <c r="H110" s="3"/>
    </row>
    <row r="111" spans="1:8">
      <c r="A111" s="1"/>
      <c r="B111" s="1"/>
      <c r="C111" s="1"/>
      <c r="D111" s="1"/>
      <c r="F111" s="8"/>
      <c r="G111" s="18"/>
      <c r="H111" s="3"/>
    </row>
    <row r="112" spans="1:8">
      <c r="A112" s="1"/>
      <c r="B112" s="1"/>
      <c r="C112" s="1"/>
      <c r="D112" s="1"/>
      <c r="F112" s="8"/>
      <c r="G112" s="18"/>
      <c r="H112" s="3"/>
    </row>
    <row r="113" spans="1:8">
      <c r="A113" s="1"/>
      <c r="B113" s="1"/>
      <c r="C113" s="1"/>
      <c r="D113" s="1"/>
      <c r="F113" s="8"/>
      <c r="G113" s="18"/>
      <c r="H113" s="3"/>
    </row>
    <row r="114" spans="1:8">
      <c r="A114" s="1"/>
      <c r="B114" s="1"/>
      <c r="C114" s="1"/>
      <c r="D114" s="1"/>
      <c r="F114" s="8"/>
      <c r="G114" s="18"/>
      <c r="H114" s="3"/>
    </row>
    <row r="115" spans="1:8">
      <c r="A115" s="1"/>
      <c r="B115" s="1"/>
      <c r="C115" s="1"/>
      <c r="D115" s="1"/>
      <c r="F115" s="8"/>
      <c r="G115" s="18"/>
      <c r="H115" s="3"/>
    </row>
    <row r="116" spans="1:8">
      <c r="A116" s="1"/>
      <c r="B116" s="1"/>
      <c r="C116" s="1"/>
      <c r="D116" s="1"/>
      <c r="F116" s="8"/>
      <c r="G116" s="18"/>
      <c r="H116" s="3"/>
    </row>
    <row r="117" spans="1:8">
      <c r="A117" s="1"/>
      <c r="B117" s="1"/>
      <c r="C117" s="1"/>
      <c r="D117" s="1"/>
      <c r="F117" s="8"/>
      <c r="G117" s="18"/>
      <c r="H117" s="3"/>
    </row>
    <row r="118" spans="1:8">
      <c r="A118" s="1"/>
      <c r="B118" s="1"/>
      <c r="C118" s="1"/>
      <c r="D118" s="1"/>
      <c r="F118" s="8"/>
      <c r="G118" s="18"/>
      <c r="H118" s="3"/>
    </row>
    <row r="119" spans="1:8">
      <c r="A119" s="1"/>
      <c r="B119" s="1"/>
      <c r="C119" s="1"/>
      <c r="D119" s="1"/>
      <c r="F119" s="8"/>
      <c r="G119" s="18"/>
      <c r="H119" s="3"/>
    </row>
    <row r="120" spans="1:8">
      <c r="A120" s="1"/>
      <c r="B120" s="1"/>
      <c r="C120" s="1"/>
      <c r="D120" s="1"/>
      <c r="F120" s="8"/>
      <c r="G120" s="18"/>
      <c r="H120" s="3"/>
    </row>
    <row r="121" spans="1:8">
      <c r="A121" s="1"/>
      <c r="B121" s="1"/>
      <c r="C121" s="1"/>
      <c r="D121" s="1"/>
      <c r="F121" s="8"/>
      <c r="G121" s="18"/>
      <c r="H121" s="3"/>
    </row>
    <row r="122" spans="1:8">
      <c r="A122" s="1"/>
      <c r="B122" s="1"/>
      <c r="C122" s="1"/>
      <c r="D122" s="1"/>
      <c r="F122" s="8"/>
      <c r="G122" s="18"/>
      <c r="H122" s="3"/>
    </row>
    <row r="123" spans="1:8">
      <c r="A123" s="1"/>
      <c r="B123" s="1"/>
      <c r="C123" s="1"/>
      <c r="D123" s="1"/>
      <c r="F123" s="8"/>
      <c r="G123" s="18"/>
      <c r="H123" s="3"/>
    </row>
    <row r="124" spans="1:8">
      <c r="A124" s="1"/>
      <c r="B124" s="1"/>
      <c r="C124" s="1"/>
      <c r="D124" s="1"/>
      <c r="F124" s="8"/>
      <c r="G124" s="18"/>
      <c r="H124" s="3"/>
    </row>
    <row r="125" spans="1:8">
      <c r="A125" s="1"/>
      <c r="B125" s="1"/>
      <c r="C125" s="1"/>
      <c r="D125" s="1"/>
      <c r="F125" s="8"/>
      <c r="G125" s="18"/>
      <c r="H125" s="3"/>
    </row>
    <row r="126" spans="1:8">
      <c r="A126" s="1"/>
      <c r="B126" s="1"/>
      <c r="C126" s="1"/>
      <c r="D126" s="1"/>
      <c r="F126" s="8"/>
      <c r="G126" s="18"/>
      <c r="H126" s="3"/>
    </row>
    <row r="127" spans="1:8">
      <c r="A127" s="1"/>
      <c r="B127" s="1"/>
      <c r="C127" s="1"/>
      <c r="D127" s="1"/>
      <c r="F127" s="8"/>
      <c r="G127" s="18"/>
      <c r="H127" s="3"/>
    </row>
    <row r="128" spans="1:8">
      <c r="A128" s="1"/>
      <c r="B128" s="1"/>
      <c r="C128" s="1"/>
      <c r="D128" s="1"/>
      <c r="F128" s="8"/>
      <c r="G128" s="18"/>
      <c r="H128" s="3"/>
    </row>
    <row r="129" spans="1:8">
      <c r="A129" s="1"/>
      <c r="B129" s="1"/>
      <c r="C129" s="1"/>
      <c r="D129" s="1"/>
      <c r="F129" s="8"/>
      <c r="G129" s="18"/>
      <c r="H129" s="3"/>
    </row>
    <row r="130" spans="1:8">
      <c r="A130" s="1"/>
      <c r="B130" s="1"/>
      <c r="C130" s="1"/>
      <c r="D130" s="1"/>
      <c r="F130" s="8"/>
      <c r="G130" s="18"/>
      <c r="H130" s="3"/>
    </row>
    <row r="131" spans="1:8">
      <c r="A131" s="1"/>
      <c r="B131" s="1"/>
      <c r="C131" s="1"/>
      <c r="D131" s="1"/>
      <c r="F131" s="8"/>
      <c r="G131" s="18"/>
      <c r="H131" s="3"/>
    </row>
    <row r="132" spans="1:8">
      <c r="A132" s="1"/>
      <c r="B132" s="1"/>
      <c r="C132" s="1"/>
      <c r="D132" s="1"/>
      <c r="F132" s="8"/>
      <c r="G132" s="18"/>
      <c r="H132" s="3"/>
    </row>
    <row r="133" spans="1:8">
      <c r="A133" s="2"/>
      <c r="B133" s="2"/>
      <c r="C133" s="2"/>
      <c r="D133" s="2"/>
      <c r="F133" s="10"/>
      <c r="G133" s="11"/>
      <c r="H133" s="5"/>
    </row>
    <row r="134" spans="1:8">
      <c r="A134" s="2"/>
      <c r="B134" s="2"/>
      <c r="C134" s="2"/>
      <c r="D134" s="2"/>
      <c r="F134" s="10"/>
      <c r="G134" s="11"/>
      <c r="H134" s="5"/>
    </row>
    <row r="135" spans="1:8">
      <c r="A135" s="2"/>
      <c r="B135" s="2"/>
      <c r="C135" s="2"/>
      <c r="D135" s="2"/>
      <c r="F135" s="10"/>
      <c r="G135" s="11"/>
      <c r="H135" s="5"/>
    </row>
    <row r="136" spans="1:8">
      <c r="A136" s="2"/>
      <c r="B136" s="2"/>
      <c r="C136" s="2"/>
      <c r="D136" s="2"/>
      <c r="F136" s="10"/>
      <c r="G136" s="11"/>
      <c r="H136" s="5"/>
    </row>
    <row r="137" spans="1:8">
      <c r="A137" s="2"/>
      <c r="B137" s="2"/>
      <c r="C137" s="2"/>
      <c r="D137" s="2"/>
      <c r="F137" s="10"/>
      <c r="G137" s="11"/>
      <c r="H137" s="5"/>
    </row>
    <row r="138" spans="1:8">
      <c r="A138" s="2"/>
      <c r="B138" s="2"/>
      <c r="C138" s="2"/>
      <c r="D138" s="2"/>
      <c r="F138" s="10"/>
      <c r="G138" s="11"/>
      <c r="H138" s="5"/>
    </row>
    <row r="139" spans="1:8">
      <c r="A139" s="2"/>
      <c r="B139" s="2"/>
      <c r="C139" s="2"/>
      <c r="D139" s="2"/>
      <c r="F139" s="10"/>
      <c r="G139" s="11"/>
      <c r="H139" s="5"/>
    </row>
    <row r="140" spans="1:8">
      <c r="A140" s="2"/>
      <c r="B140" s="2"/>
      <c r="C140" s="2"/>
      <c r="D140" s="2"/>
      <c r="F140" s="10"/>
      <c r="G140" s="11"/>
      <c r="H140" s="5"/>
    </row>
    <row r="141" spans="1:8">
      <c r="A141" s="2"/>
      <c r="B141" s="2"/>
      <c r="C141" s="2"/>
      <c r="D141" s="2"/>
      <c r="F141" s="10"/>
      <c r="G141" s="11"/>
      <c r="H141" s="5"/>
    </row>
    <row r="142" spans="1:8">
      <c r="A142" s="2"/>
      <c r="B142" s="2"/>
      <c r="C142" s="2"/>
      <c r="D142" s="2"/>
      <c r="F142" s="10"/>
      <c r="G142" s="11"/>
      <c r="H142" s="5"/>
    </row>
    <row r="143" spans="1:8">
      <c r="A143" s="2"/>
      <c r="B143" s="2"/>
      <c r="C143" s="2"/>
      <c r="D143" s="2"/>
      <c r="F143" s="10"/>
      <c r="G143" s="11"/>
      <c r="H143" s="5"/>
    </row>
    <row r="144" spans="1:8">
      <c r="A144" s="2"/>
      <c r="B144" s="2"/>
      <c r="C144" s="2"/>
      <c r="D144" s="2"/>
      <c r="F144" s="10"/>
      <c r="G144" s="11"/>
      <c r="H144" s="5"/>
    </row>
    <row r="145" spans="1:8">
      <c r="A145" s="2"/>
      <c r="B145" s="2"/>
      <c r="C145" s="2"/>
      <c r="D145" s="2"/>
      <c r="F145" s="10"/>
      <c r="G145" s="11"/>
      <c r="H145" s="5"/>
    </row>
    <row r="146" spans="1:8">
      <c r="A146" s="2"/>
      <c r="B146" s="2"/>
      <c r="C146" s="2"/>
      <c r="D146" s="2"/>
      <c r="F146" s="10"/>
      <c r="G146" s="11"/>
      <c r="H146" s="5"/>
    </row>
    <row r="147" spans="1:8">
      <c r="A147" s="2"/>
      <c r="B147" s="2"/>
      <c r="C147" s="2"/>
      <c r="D147" s="2"/>
      <c r="F147" s="10"/>
      <c r="G147" s="11"/>
      <c r="H147" s="5"/>
    </row>
    <row r="148" spans="1:8">
      <c r="A148" s="2"/>
      <c r="B148" s="2"/>
      <c r="C148" s="2"/>
      <c r="D148" s="2"/>
      <c r="F148" s="10"/>
      <c r="G148" s="11"/>
      <c r="H148" s="5"/>
    </row>
    <row r="149" spans="1:8">
      <c r="A149" s="2"/>
      <c r="B149" s="2"/>
      <c r="C149" s="2"/>
      <c r="D149" s="2"/>
      <c r="F149" s="10"/>
      <c r="G149" s="11"/>
      <c r="H149" s="5"/>
    </row>
    <row r="150" spans="1:8">
      <c r="A150" s="2"/>
      <c r="B150" s="2"/>
      <c r="C150" s="2"/>
      <c r="D150" s="2"/>
      <c r="F150" s="10"/>
      <c r="G150" s="11"/>
      <c r="H150" s="5"/>
    </row>
    <row r="151" spans="1:8">
      <c r="A151" s="2"/>
      <c r="B151" s="2"/>
      <c r="C151" s="2"/>
      <c r="D151" s="2"/>
      <c r="F151" s="10"/>
      <c r="G151" s="11"/>
      <c r="H151" s="5"/>
    </row>
    <row r="152" spans="1:8">
      <c r="A152" s="2"/>
      <c r="B152" s="2"/>
      <c r="C152" s="2"/>
      <c r="D152" s="2"/>
      <c r="F152" s="10"/>
      <c r="G152" s="11"/>
      <c r="H152" s="5"/>
    </row>
    <row r="153" spans="1:8">
      <c r="A153" s="2"/>
      <c r="B153" s="2"/>
      <c r="C153" s="2"/>
      <c r="D153" s="2"/>
      <c r="F153" s="10"/>
      <c r="G153" s="11"/>
      <c r="H153" s="5"/>
    </row>
    <row r="154" spans="1:8">
      <c r="A154" s="2"/>
      <c r="B154" s="2"/>
      <c r="C154" s="2"/>
      <c r="D154" s="2"/>
      <c r="F154" s="10"/>
      <c r="G154" s="11"/>
      <c r="H154" s="5"/>
    </row>
    <row r="155" spans="1:8">
      <c r="A155" s="2"/>
      <c r="B155" s="2"/>
      <c r="C155" s="2"/>
      <c r="D155" s="2"/>
      <c r="F155" s="10"/>
      <c r="G155" s="11"/>
      <c r="H155" s="5"/>
    </row>
    <row r="156" spans="1:8">
      <c r="A156" s="2"/>
      <c r="B156" s="2"/>
      <c r="C156" s="2"/>
      <c r="D156" s="2"/>
      <c r="F156" s="10"/>
      <c r="G156" s="11"/>
      <c r="H156" s="5"/>
    </row>
    <row r="157" spans="1:8">
      <c r="A157" s="2"/>
      <c r="B157" s="2"/>
      <c r="C157" s="2"/>
      <c r="D157" s="2"/>
      <c r="F157" s="10"/>
      <c r="G157" s="11"/>
      <c r="H157" s="5"/>
    </row>
    <row r="158" spans="1:8">
      <c r="A158" s="2"/>
      <c r="B158" s="2"/>
      <c r="C158" s="2"/>
      <c r="D158" s="2"/>
      <c r="F158" s="10"/>
      <c r="G158" s="11"/>
      <c r="H158" s="5"/>
    </row>
    <row r="159" spans="1:8">
      <c r="A159" s="2"/>
      <c r="B159" s="2"/>
      <c r="C159" s="2"/>
      <c r="D159" s="2"/>
      <c r="F159" s="10"/>
      <c r="G159" s="11"/>
      <c r="H159" s="5"/>
    </row>
    <row r="160" spans="1:8">
      <c r="A160" s="2"/>
      <c r="B160" s="2"/>
      <c r="C160" s="2"/>
      <c r="D160" s="2"/>
      <c r="F160" s="10"/>
      <c r="G160" s="11"/>
      <c r="H160" s="5"/>
    </row>
    <row r="161" spans="1:8">
      <c r="A161" s="2"/>
      <c r="B161" s="2"/>
      <c r="C161" s="2"/>
      <c r="D161" s="2"/>
      <c r="F161" s="10"/>
      <c r="G161" s="11"/>
      <c r="H161" s="5"/>
    </row>
    <row r="162" spans="1:8">
      <c r="A162" s="2"/>
      <c r="B162" s="2"/>
      <c r="C162" s="2"/>
      <c r="D162" s="2"/>
      <c r="F162" s="10"/>
      <c r="G162" s="11"/>
      <c r="H162" s="5"/>
    </row>
    <row r="163" spans="1:8">
      <c r="A163" s="2"/>
      <c r="B163" s="2"/>
      <c r="C163" s="2"/>
      <c r="D163" s="2"/>
      <c r="F163" s="10"/>
      <c r="G163" s="11"/>
      <c r="H163" s="5"/>
    </row>
    <row r="164" spans="1:8">
      <c r="A164" s="2"/>
      <c r="B164" s="2"/>
      <c r="C164" s="2"/>
      <c r="D164" s="2"/>
      <c r="F164" s="10"/>
      <c r="G164" s="11"/>
      <c r="H164" s="5"/>
    </row>
    <row r="165" spans="1:8">
      <c r="A165" s="2"/>
      <c r="B165" s="2"/>
      <c r="C165" s="2"/>
      <c r="D165" s="2"/>
      <c r="F165" s="10"/>
      <c r="G165" s="11"/>
      <c r="H165" s="5"/>
    </row>
    <row r="166" spans="1:8">
      <c r="A166" s="2"/>
      <c r="B166" s="2"/>
      <c r="C166" s="2"/>
      <c r="D166" s="2"/>
      <c r="F166" s="10"/>
      <c r="G166" s="11"/>
      <c r="H166" s="5"/>
    </row>
    <row r="167" spans="1:8">
      <c r="A167" s="2"/>
      <c r="B167" s="2"/>
      <c r="C167" s="2"/>
      <c r="D167" s="2"/>
      <c r="F167" s="10"/>
      <c r="G167" s="11"/>
      <c r="H167" s="5"/>
    </row>
    <row r="168" spans="1:8">
      <c r="A168" s="2"/>
      <c r="B168" s="2"/>
      <c r="C168" s="2"/>
      <c r="D168" s="2"/>
      <c r="F168" s="10"/>
      <c r="G168" s="11"/>
      <c r="H168" s="5"/>
    </row>
    <row r="169" spans="1:8">
      <c r="A169" s="2"/>
      <c r="B169" s="2"/>
      <c r="C169" s="2"/>
      <c r="D169" s="2"/>
      <c r="F169" s="10"/>
      <c r="G169" s="11"/>
      <c r="H169" s="5"/>
    </row>
    <row r="170" spans="1:8">
      <c r="A170" s="2"/>
      <c r="B170" s="2"/>
      <c r="C170" s="2"/>
      <c r="D170" s="2"/>
      <c r="F170" s="10"/>
      <c r="G170" s="11"/>
      <c r="H170" s="5"/>
    </row>
    <row r="171" spans="1:8">
      <c r="A171" s="2"/>
      <c r="B171" s="2"/>
      <c r="C171" s="2"/>
      <c r="D171" s="2"/>
      <c r="F171" s="10"/>
      <c r="G171" s="11"/>
      <c r="H171" s="5"/>
    </row>
    <row r="172" spans="1:8">
      <c r="A172" s="2"/>
      <c r="B172" s="2"/>
      <c r="C172" s="2"/>
      <c r="D172" s="2"/>
      <c r="F172" s="10"/>
      <c r="G172" s="11"/>
      <c r="H172" s="5"/>
    </row>
    <row r="173" spans="1:8">
      <c r="A173" s="2"/>
      <c r="B173" s="2"/>
      <c r="C173" s="2"/>
      <c r="D173" s="2"/>
      <c r="F173" s="10"/>
      <c r="G173" s="11"/>
      <c r="H173" s="5"/>
    </row>
    <row r="174" spans="1:8">
      <c r="A174" s="2"/>
      <c r="B174" s="2"/>
      <c r="C174" s="2"/>
      <c r="D174" s="2"/>
      <c r="F174" s="10"/>
      <c r="G174" s="11"/>
      <c r="H174" s="5"/>
    </row>
    <row r="175" spans="1:8">
      <c r="A175" s="2"/>
      <c r="B175" s="2"/>
      <c r="C175" s="2"/>
      <c r="D175" s="2"/>
      <c r="F175" s="10"/>
      <c r="G175" s="11"/>
      <c r="H175" s="5"/>
    </row>
    <row r="176" spans="1:8">
      <c r="A176" s="2"/>
      <c r="B176" s="2"/>
      <c r="C176" s="2"/>
      <c r="D176" s="2"/>
      <c r="F176" s="10"/>
      <c r="G176" s="11"/>
      <c r="H176" s="5"/>
    </row>
    <row r="177" spans="1:8">
      <c r="A177" s="2"/>
      <c r="B177" s="2"/>
      <c r="C177" s="2"/>
      <c r="D177" s="2"/>
      <c r="F177" s="10"/>
      <c r="G177" s="11"/>
      <c r="H177" s="5"/>
    </row>
    <row r="178" spans="1:8">
      <c r="A178" s="2"/>
      <c r="B178" s="2"/>
      <c r="C178" s="2"/>
      <c r="D178" s="2"/>
      <c r="F178" s="10"/>
      <c r="G178" s="11"/>
      <c r="H178" s="5"/>
    </row>
    <row r="179" spans="1:8">
      <c r="A179" s="2"/>
      <c r="B179" s="2"/>
      <c r="C179" s="2"/>
      <c r="D179" s="2"/>
      <c r="F179" s="10"/>
      <c r="G179" s="11"/>
      <c r="H179" s="5"/>
    </row>
    <row r="180" spans="1:8">
      <c r="A180" s="2"/>
      <c r="B180" s="2"/>
      <c r="C180" s="2"/>
      <c r="D180" s="2"/>
      <c r="F180" s="10"/>
      <c r="G180" s="11"/>
      <c r="H180" s="5"/>
    </row>
    <row r="181" spans="1:8">
      <c r="A181" s="2"/>
      <c r="B181" s="2"/>
      <c r="C181" s="2"/>
      <c r="D181" s="2"/>
      <c r="F181" s="10"/>
      <c r="G181" s="11"/>
      <c r="H181" s="5"/>
    </row>
    <row r="182" spans="1:8">
      <c r="A182" s="2"/>
      <c r="B182" s="2"/>
      <c r="C182" s="2"/>
      <c r="D182" s="2"/>
      <c r="F182" s="10"/>
      <c r="G182" s="11"/>
      <c r="H182" s="5"/>
    </row>
    <row r="183" spans="1:8">
      <c r="A183" s="2"/>
      <c r="B183" s="2"/>
      <c r="C183" s="2"/>
      <c r="D183" s="2"/>
      <c r="F183" s="10"/>
      <c r="G183" s="11"/>
      <c r="H183" s="5"/>
    </row>
    <row r="184" spans="1:8">
      <c r="A184" s="2"/>
      <c r="B184" s="2"/>
      <c r="C184" s="2"/>
      <c r="D184" s="2"/>
      <c r="F184" s="10"/>
      <c r="G184" s="11"/>
      <c r="H184" s="5"/>
    </row>
    <row r="185" spans="1:8">
      <c r="A185" s="2"/>
      <c r="B185" s="2"/>
      <c r="C185" s="2"/>
      <c r="D185" s="2"/>
      <c r="F185" s="10"/>
      <c r="G185" s="11"/>
      <c r="H185" s="5"/>
    </row>
    <row r="186" spans="1:8">
      <c r="A186" s="2"/>
      <c r="B186" s="2"/>
      <c r="C186" s="2"/>
      <c r="D186" s="2"/>
      <c r="F186" s="10"/>
      <c r="G186" s="11"/>
      <c r="H186" s="5"/>
    </row>
    <row r="187" spans="1:8">
      <c r="A187" s="2"/>
      <c r="B187" s="2"/>
      <c r="C187" s="2"/>
      <c r="D187" s="2"/>
      <c r="F187" s="10"/>
      <c r="G187" s="11"/>
      <c r="H187" s="5"/>
    </row>
    <row r="188" spans="1:8">
      <c r="A188" s="2"/>
      <c r="B188" s="2"/>
      <c r="C188" s="2"/>
      <c r="D188" s="2"/>
      <c r="F188" s="10"/>
      <c r="G188" s="11"/>
      <c r="H188" s="5"/>
    </row>
    <row r="189" spans="1:8">
      <c r="A189" s="2"/>
      <c r="B189" s="2"/>
      <c r="C189" s="2"/>
      <c r="D189" s="2"/>
      <c r="F189" s="10"/>
      <c r="G189" s="11"/>
      <c r="H189" s="5"/>
    </row>
    <row r="190" spans="1:8">
      <c r="A190" s="2"/>
      <c r="B190" s="2"/>
      <c r="C190" s="2"/>
      <c r="D190" s="2"/>
      <c r="F190" s="10"/>
      <c r="G190" s="11"/>
      <c r="H190" s="5"/>
    </row>
    <row r="191" spans="1:8">
      <c r="A191" s="2"/>
      <c r="B191" s="2"/>
      <c r="C191" s="2"/>
      <c r="D191" s="2"/>
      <c r="F191" s="10"/>
      <c r="G191" s="11"/>
      <c r="H191" s="5"/>
    </row>
    <row r="192" spans="1:8">
      <c r="A192" s="2"/>
      <c r="B192" s="2"/>
      <c r="C192" s="2"/>
      <c r="D192" s="2"/>
      <c r="F192" s="10"/>
      <c r="G192" s="11"/>
      <c r="H192" s="5"/>
    </row>
    <row r="193" spans="1:8">
      <c r="A193" s="2"/>
      <c r="B193" s="2"/>
      <c r="C193" s="2"/>
      <c r="D193" s="2"/>
      <c r="F193" s="10"/>
      <c r="G193" s="11"/>
      <c r="H193" s="5"/>
    </row>
    <row r="194" spans="1:8">
      <c r="A194" s="2"/>
      <c r="B194" s="2"/>
      <c r="C194" s="2"/>
      <c r="D194" s="2"/>
      <c r="F194" s="10"/>
      <c r="G194" s="11"/>
      <c r="H194" s="5"/>
    </row>
    <row r="195" spans="1:8">
      <c r="A195" s="2"/>
      <c r="B195" s="2"/>
      <c r="C195" s="2"/>
      <c r="D195" s="2"/>
      <c r="F195" s="10"/>
      <c r="G195" s="11"/>
      <c r="H195" s="5"/>
    </row>
    <row r="196" spans="1:8">
      <c r="A196" s="2"/>
      <c r="B196" s="2"/>
      <c r="C196" s="2"/>
      <c r="D196" s="2"/>
      <c r="F196" s="10"/>
      <c r="G196" s="11"/>
      <c r="H196" s="5"/>
    </row>
    <row r="197" spans="1:8">
      <c r="A197" s="2"/>
      <c r="B197" s="2"/>
      <c r="C197" s="2"/>
      <c r="D197" s="2"/>
      <c r="F197" s="10"/>
      <c r="G197" s="11"/>
      <c r="H197" s="5"/>
    </row>
    <row r="198" spans="1:8">
      <c r="A198" s="2"/>
      <c r="B198" s="2"/>
      <c r="C198" s="2"/>
      <c r="D198" s="2"/>
      <c r="F198" s="10"/>
      <c r="G198" s="11"/>
      <c r="H198" s="5"/>
    </row>
    <row r="199" spans="1:8">
      <c r="A199" s="2"/>
      <c r="B199" s="2"/>
      <c r="C199" s="2"/>
      <c r="D199" s="2"/>
      <c r="F199" s="10"/>
      <c r="G199" s="11"/>
      <c r="H199" s="5"/>
    </row>
    <row r="200" spans="1:8">
      <c r="A200" s="2"/>
      <c r="B200" s="2"/>
      <c r="C200" s="2"/>
      <c r="D200" s="2"/>
      <c r="F200" s="10"/>
      <c r="G200" s="11"/>
      <c r="H200" s="5"/>
    </row>
    <row r="201" spans="1:8">
      <c r="A201" s="2"/>
      <c r="B201" s="2"/>
      <c r="C201" s="2"/>
      <c r="D201" s="2"/>
      <c r="F201" s="10"/>
      <c r="G201" s="11"/>
      <c r="H201" s="5"/>
    </row>
    <row r="202" spans="1:8">
      <c r="A202" s="2"/>
      <c r="B202" s="2"/>
      <c r="C202" s="2"/>
      <c r="D202" s="2"/>
      <c r="F202" s="10"/>
      <c r="G202" s="11"/>
      <c r="H202" s="5"/>
    </row>
    <row r="203" spans="1:8">
      <c r="A203" s="2"/>
      <c r="B203" s="2"/>
      <c r="C203" s="2"/>
      <c r="D203" s="2"/>
      <c r="F203" s="10"/>
      <c r="G203" s="11"/>
      <c r="H203" s="5"/>
    </row>
    <row r="204" spans="1:8">
      <c r="A204" s="2"/>
      <c r="B204" s="2"/>
      <c r="C204" s="2"/>
      <c r="D204" s="2"/>
      <c r="F204" s="10"/>
      <c r="G204" s="11"/>
      <c r="H204" s="5"/>
    </row>
    <row r="205" spans="1:8">
      <c r="A205" s="2"/>
      <c r="B205" s="2"/>
      <c r="C205" s="2"/>
      <c r="D205" s="2"/>
      <c r="F205" s="10"/>
      <c r="G205" s="11"/>
      <c r="H205" s="5"/>
    </row>
    <row r="206" spans="1:8">
      <c r="A206" s="2"/>
      <c r="B206" s="2"/>
      <c r="C206" s="2"/>
      <c r="D206" s="2"/>
      <c r="F206" s="10"/>
      <c r="G206" s="11"/>
      <c r="H206" s="5"/>
    </row>
    <row r="207" spans="1:8">
      <c r="A207" s="2"/>
      <c r="B207" s="2"/>
      <c r="C207" s="2"/>
      <c r="D207" s="2"/>
      <c r="F207" s="10"/>
      <c r="G207" s="11"/>
      <c r="H207" s="5"/>
    </row>
    <row r="208" spans="1:8">
      <c r="A208" s="2"/>
      <c r="B208" s="2"/>
      <c r="C208" s="2"/>
      <c r="D208" s="2"/>
      <c r="F208" s="10"/>
      <c r="G208" s="11"/>
      <c r="H208" s="5"/>
    </row>
    <row r="209" spans="1:8">
      <c r="A209" s="2"/>
      <c r="B209" s="2"/>
      <c r="C209" s="2"/>
      <c r="D209" s="2"/>
      <c r="F209" s="10"/>
      <c r="G209" s="11"/>
      <c r="H209" s="5"/>
    </row>
    <row r="210" spans="1:8">
      <c r="A210" s="2"/>
      <c r="B210" s="2"/>
      <c r="C210" s="2"/>
      <c r="D210" s="2"/>
      <c r="F210" s="10"/>
      <c r="G210" s="11"/>
      <c r="H210" s="5"/>
    </row>
    <row r="211" spans="1:8">
      <c r="A211" s="2"/>
      <c r="B211" s="2"/>
      <c r="C211" s="2"/>
      <c r="D211" s="2"/>
      <c r="F211" s="10"/>
      <c r="G211" s="11"/>
      <c r="H211" s="5"/>
    </row>
    <row r="212" spans="1:8">
      <c r="A212" s="2"/>
      <c r="B212" s="2"/>
      <c r="C212" s="2"/>
      <c r="D212" s="2"/>
      <c r="F212" s="10"/>
      <c r="G212" s="11"/>
      <c r="H212" s="5"/>
    </row>
    <row r="213" spans="1:8">
      <c r="A213" s="2"/>
      <c r="B213" s="2"/>
      <c r="C213" s="2"/>
      <c r="D213" s="2"/>
      <c r="F213" s="10"/>
      <c r="G213" s="11"/>
      <c r="H213" s="5"/>
    </row>
    <row r="214" spans="1:8">
      <c r="A214" s="2"/>
      <c r="B214" s="2"/>
      <c r="C214" s="2"/>
      <c r="D214" s="2"/>
      <c r="F214" s="10"/>
      <c r="G214" s="11"/>
      <c r="H214" s="5"/>
    </row>
    <row r="215" spans="1:8">
      <c r="A215" s="2"/>
      <c r="B215" s="2"/>
      <c r="C215" s="2"/>
      <c r="D215" s="2"/>
      <c r="F215" s="10"/>
      <c r="G215" s="11"/>
      <c r="H215" s="5"/>
    </row>
    <row r="216" spans="1:8">
      <c r="A216" s="2"/>
      <c r="B216" s="2"/>
      <c r="C216" s="2"/>
      <c r="D216" s="2"/>
      <c r="F216" s="10"/>
      <c r="G216" s="11"/>
      <c r="H216" s="5"/>
    </row>
    <row r="217" spans="1:8">
      <c r="A217" s="2"/>
      <c r="B217" s="2"/>
      <c r="C217" s="2"/>
      <c r="D217" s="2"/>
      <c r="F217" s="10"/>
      <c r="G217" s="11"/>
      <c r="H217" s="5"/>
    </row>
    <row r="218" spans="1:8">
      <c r="A218" s="2"/>
      <c r="B218" s="2"/>
      <c r="C218" s="2"/>
      <c r="D218" s="2"/>
      <c r="F218" s="10"/>
      <c r="G218" s="11"/>
      <c r="H218" s="5"/>
    </row>
    <row r="219" spans="1:8">
      <c r="A219" s="2"/>
      <c r="B219" s="2"/>
      <c r="C219" s="2"/>
      <c r="D219" s="2"/>
      <c r="F219" s="10"/>
      <c r="G219" s="11"/>
      <c r="H219" s="5"/>
    </row>
    <row r="220" spans="1:8">
      <c r="A220" s="2"/>
      <c r="B220" s="2"/>
      <c r="C220" s="2"/>
      <c r="D220" s="2"/>
      <c r="F220" s="10"/>
      <c r="G220" s="11"/>
      <c r="H220" s="5"/>
    </row>
    <row r="221" spans="1:8">
      <c r="A221" s="2"/>
      <c r="B221" s="2"/>
      <c r="C221" s="2"/>
      <c r="D221" s="2"/>
      <c r="F221" s="10"/>
      <c r="G221" s="11"/>
      <c r="H221" s="5"/>
    </row>
    <row r="222" spans="1:8">
      <c r="A222" s="2"/>
      <c r="B222" s="2"/>
      <c r="C222" s="2"/>
      <c r="D222" s="2"/>
      <c r="F222" s="10"/>
      <c r="G222" s="11"/>
      <c r="H222" s="5"/>
    </row>
    <row r="223" spans="1:8">
      <c r="A223" s="2"/>
      <c r="B223" s="2"/>
      <c r="C223" s="2"/>
      <c r="D223" s="2"/>
      <c r="F223" s="10"/>
      <c r="G223" s="11"/>
      <c r="H223" s="5"/>
    </row>
    <row r="224" spans="1:8">
      <c r="A224" s="2"/>
      <c r="B224" s="2"/>
      <c r="C224" s="2"/>
      <c r="D224" s="2"/>
      <c r="F224" s="10"/>
      <c r="G224" s="11"/>
      <c r="H224" s="5"/>
    </row>
    <row r="225" spans="1:8">
      <c r="A225" s="2"/>
      <c r="B225" s="2"/>
      <c r="C225" s="2"/>
      <c r="D225" s="2"/>
      <c r="F225" s="10"/>
      <c r="G225" s="11"/>
      <c r="H225" s="5"/>
    </row>
    <row r="226" spans="1:8">
      <c r="A226" s="2"/>
      <c r="B226" s="2"/>
      <c r="C226" s="2"/>
      <c r="D226" s="2"/>
      <c r="F226" s="10"/>
      <c r="G226" s="11"/>
      <c r="H226" s="5"/>
    </row>
    <row r="227" spans="1:8">
      <c r="A227" s="2"/>
      <c r="B227" s="2"/>
      <c r="C227" s="2"/>
      <c r="D227" s="2"/>
      <c r="F227" s="10"/>
      <c r="G227" s="11"/>
      <c r="H227" s="5"/>
    </row>
    <row r="228" spans="1:8">
      <c r="A228" s="2"/>
      <c r="B228" s="2"/>
      <c r="C228" s="2"/>
      <c r="D228" s="2"/>
      <c r="F228" s="10"/>
      <c r="G228" s="11"/>
      <c r="H228" s="5"/>
    </row>
    <row r="229" spans="1:8">
      <c r="A229" s="2"/>
      <c r="B229" s="2"/>
      <c r="C229" s="2"/>
      <c r="D229" s="2"/>
      <c r="F229" s="10"/>
      <c r="G229" s="11"/>
      <c r="H229" s="5"/>
    </row>
    <row r="230" spans="1:8">
      <c r="A230" s="2"/>
      <c r="B230" s="2"/>
      <c r="C230" s="2"/>
      <c r="D230" s="2"/>
      <c r="F230" s="10"/>
      <c r="G230" s="11"/>
      <c r="H230" s="5"/>
    </row>
    <row r="231" spans="1:8">
      <c r="A231" s="2"/>
      <c r="B231" s="2"/>
      <c r="C231" s="2"/>
      <c r="D231" s="2"/>
      <c r="F231" s="10"/>
      <c r="G231" s="11"/>
      <c r="H231" s="5"/>
    </row>
    <row r="232" spans="1:8">
      <c r="A232" s="2"/>
      <c r="B232" s="2"/>
      <c r="C232" s="2"/>
      <c r="D232" s="2"/>
      <c r="F232" s="10"/>
      <c r="G232" s="11"/>
      <c r="H232" s="5"/>
    </row>
    <row r="233" spans="1:8">
      <c r="A233" s="2"/>
      <c r="B233" s="2"/>
      <c r="C233" s="2"/>
      <c r="D233" s="2"/>
      <c r="F233" s="10"/>
      <c r="G233" s="11"/>
      <c r="H233" s="5"/>
    </row>
    <row r="234" spans="1:8">
      <c r="A234" s="2"/>
      <c r="B234" s="2"/>
      <c r="C234" s="2"/>
      <c r="D234" s="2"/>
      <c r="F234" s="10"/>
      <c r="G234" s="11"/>
      <c r="H234" s="5"/>
    </row>
    <row r="235" spans="1:8">
      <c r="A235" s="2"/>
      <c r="B235" s="2"/>
      <c r="C235" s="2"/>
      <c r="D235" s="2"/>
      <c r="F235" s="10"/>
      <c r="G235" s="11"/>
      <c r="H235" s="5"/>
    </row>
    <row r="236" spans="1:8">
      <c r="A236" s="2"/>
      <c r="B236" s="2"/>
      <c r="C236" s="2"/>
      <c r="D236" s="2"/>
      <c r="F236" s="10"/>
      <c r="G236" s="11"/>
      <c r="H236" s="5"/>
    </row>
    <row r="237" spans="1:8">
      <c r="A237" s="2"/>
      <c r="B237" s="2"/>
      <c r="C237" s="2"/>
      <c r="D237" s="2"/>
      <c r="F237" s="10"/>
      <c r="G237" s="11"/>
      <c r="H237" s="5"/>
    </row>
    <row r="238" spans="1:8">
      <c r="A238" s="2"/>
      <c r="B238" s="2"/>
      <c r="C238" s="2"/>
      <c r="D238" s="2"/>
      <c r="F238" s="10"/>
      <c r="G238" s="11"/>
      <c r="H238" s="5"/>
    </row>
    <row r="239" spans="1:8">
      <c r="A239" s="2"/>
      <c r="B239" s="2"/>
      <c r="C239" s="2"/>
      <c r="D239" s="2"/>
      <c r="F239" s="10"/>
      <c r="G239" s="11"/>
      <c r="H239" s="5"/>
    </row>
    <row r="240" spans="1:8">
      <c r="A240" s="2"/>
      <c r="B240" s="2"/>
      <c r="C240" s="2"/>
      <c r="D240" s="2"/>
      <c r="F240" s="10"/>
      <c r="G240" s="11"/>
      <c r="H240" s="5"/>
    </row>
    <row r="241" spans="1:8">
      <c r="A241" s="2"/>
      <c r="B241" s="2"/>
      <c r="C241" s="2"/>
      <c r="D241" s="2"/>
      <c r="F241" s="10"/>
      <c r="G241" s="11"/>
      <c r="H241" s="5"/>
    </row>
    <row r="242" spans="1:8">
      <c r="A242" s="2"/>
      <c r="B242" s="2"/>
      <c r="C242" s="2"/>
      <c r="D242" s="2"/>
      <c r="F242" s="10"/>
      <c r="G242" s="11"/>
      <c r="H242" s="5"/>
    </row>
    <row r="243" spans="1:8">
      <c r="A243" s="2"/>
      <c r="B243" s="2"/>
      <c r="C243" s="2"/>
      <c r="D243" s="2"/>
      <c r="F243" s="10"/>
      <c r="G243" s="11"/>
      <c r="H243" s="5"/>
    </row>
    <row r="244" spans="1:8">
      <c r="A244" s="2"/>
      <c r="B244" s="2"/>
      <c r="C244" s="2"/>
      <c r="D244" s="2"/>
      <c r="F244" s="10"/>
      <c r="G244" s="11"/>
      <c r="H244" s="5"/>
    </row>
    <row r="245" spans="1:8">
      <c r="A245" s="2"/>
      <c r="B245" s="2"/>
      <c r="C245" s="2"/>
      <c r="D245" s="2"/>
      <c r="F245" s="10"/>
      <c r="G245" s="11"/>
      <c r="H245" s="5"/>
    </row>
    <row r="246" spans="1:8">
      <c r="A246" s="2"/>
      <c r="B246" s="2"/>
      <c r="C246" s="2"/>
      <c r="D246" s="2"/>
      <c r="F246" s="10"/>
      <c r="G246" s="11"/>
      <c r="H246" s="5"/>
    </row>
    <row r="247" spans="1:8">
      <c r="A247" s="2"/>
      <c r="B247" s="2"/>
      <c r="C247" s="2"/>
      <c r="D247" s="2"/>
      <c r="F247" s="10"/>
      <c r="G247" s="11"/>
      <c r="H247" s="5"/>
    </row>
    <row r="248" spans="1:8">
      <c r="A248" s="2"/>
      <c r="B248" s="2"/>
      <c r="C248" s="2"/>
      <c r="D248" s="2"/>
      <c r="F248" s="10"/>
      <c r="G248" s="11"/>
      <c r="H248" s="5"/>
    </row>
    <row r="249" spans="1:8">
      <c r="A249" s="2"/>
      <c r="B249" s="2"/>
      <c r="C249" s="2"/>
      <c r="D249" s="2"/>
      <c r="F249" s="10"/>
      <c r="G249" s="11"/>
      <c r="H249" s="5"/>
    </row>
    <row r="250" spans="1:8">
      <c r="A250" s="2"/>
      <c r="B250" s="2"/>
      <c r="C250" s="2"/>
      <c r="D250" s="2"/>
      <c r="F250" s="10"/>
      <c r="G250" s="11"/>
      <c r="H250" s="5"/>
    </row>
    <row r="251" spans="1:8">
      <c r="A251" s="2"/>
      <c r="B251" s="2"/>
      <c r="C251" s="2"/>
      <c r="D251" s="2"/>
      <c r="F251" s="10"/>
      <c r="G251" s="11"/>
      <c r="H251" s="5"/>
    </row>
    <row r="252" spans="1:8">
      <c r="A252" s="2"/>
      <c r="B252" s="2"/>
      <c r="C252" s="2"/>
      <c r="D252" s="2"/>
      <c r="F252" s="10"/>
      <c r="G252" s="11"/>
      <c r="H252" s="5"/>
    </row>
    <row r="253" spans="1:8">
      <c r="A253" s="2"/>
      <c r="B253" s="2"/>
      <c r="C253" s="2"/>
      <c r="D253" s="2"/>
      <c r="F253" s="10"/>
      <c r="G253" s="11"/>
      <c r="H253" s="5"/>
    </row>
    <row r="254" spans="1:8">
      <c r="A254" s="1"/>
      <c r="B254" s="1"/>
      <c r="C254" s="1"/>
      <c r="D254" s="1"/>
      <c r="F254" s="13"/>
      <c r="G254" s="9"/>
      <c r="H254" s="3"/>
    </row>
    <row r="255" spans="1:8">
      <c r="A255" s="1"/>
      <c r="B255" s="1"/>
      <c r="C255" s="1"/>
      <c r="D255" s="1"/>
      <c r="F255" s="13"/>
      <c r="G255" s="9"/>
      <c r="H255" s="3"/>
    </row>
    <row r="256" spans="1:8">
      <c r="A256" s="1"/>
      <c r="B256" s="1"/>
      <c r="C256" s="1"/>
      <c r="D256" s="1"/>
      <c r="F256" s="13"/>
      <c r="G256" s="9"/>
      <c r="H256" s="3"/>
    </row>
    <row r="257" spans="1:8">
      <c r="A257" s="1"/>
      <c r="B257" s="1"/>
      <c r="C257" s="1"/>
      <c r="D257" s="1"/>
      <c r="F257" s="13"/>
      <c r="G257" s="9"/>
      <c r="H257" s="3"/>
    </row>
    <row r="258" spans="1:8">
      <c r="A258" s="1"/>
      <c r="B258" s="1"/>
      <c r="C258" s="1"/>
      <c r="D258" s="1"/>
      <c r="F258" s="13"/>
      <c r="G258" s="9"/>
      <c r="H258" s="3"/>
    </row>
    <row r="259" spans="1:8">
      <c r="A259" s="1"/>
      <c r="B259" s="1"/>
      <c r="C259" s="1"/>
      <c r="D259" s="1"/>
      <c r="F259" s="13"/>
      <c r="G259" s="9"/>
      <c r="H259" s="3"/>
    </row>
    <row r="260" spans="1:8">
      <c r="A260" s="1"/>
      <c r="B260" s="1"/>
      <c r="C260" s="1"/>
      <c r="D260" s="1"/>
      <c r="F260" s="13"/>
      <c r="G260" s="9"/>
      <c r="H260" s="3"/>
    </row>
    <row r="261" spans="1:8">
      <c r="A261" s="1"/>
      <c r="B261" s="1"/>
      <c r="C261" s="1"/>
      <c r="D261" s="1"/>
      <c r="F261" s="13"/>
      <c r="G261" s="9"/>
      <c r="H261" s="3"/>
    </row>
    <row r="262" spans="1:8">
      <c r="A262" s="1"/>
      <c r="B262" s="1"/>
      <c r="C262" s="1"/>
      <c r="D262" s="1"/>
      <c r="F262" s="13"/>
      <c r="G262" s="9"/>
      <c r="H262" s="3"/>
    </row>
    <row r="263" spans="1:8">
      <c r="A263" s="1"/>
      <c r="B263" s="1"/>
      <c r="C263" s="1"/>
      <c r="D263" s="1"/>
      <c r="F263" s="13"/>
      <c r="G263" s="9"/>
      <c r="H263" s="3"/>
    </row>
    <row r="264" spans="1:8">
      <c r="A264" s="1"/>
      <c r="B264" s="1"/>
      <c r="C264" s="1"/>
      <c r="D264" s="1"/>
      <c r="F264" s="13"/>
      <c r="G264" s="9"/>
      <c r="H264" s="3"/>
    </row>
    <row r="265" spans="1:8">
      <c r="A265" s="1"/>
      <c r="B265" s="1"/>
      <c r="C265" s="1"/>
      <c r="D265" s="1"/>
      <c r="F265" s="13"/>
      <c r="G265" s="9"/>
      <c r="H265" s="3"/>
    </row>
    <row r="266" spans="1:8">
      <c r="A266" s="1"/>
      <c r="B266" s="1"/>
      <c r="C266" s="1"/>
      <c r="D266" s="1"/>
      <c r="F266" s="13"/>
      <c r="G266" s="9"/>
      <c r="H266" s="3"/>
    </row>
    <row r="267" spans="1:8">
      <c r="A267" s="1"/>
      <c r="B267" s="1"/>
      <c r="C267" s="1"/>
      <c r="D267" s="1"/>
      <c r="F267" s="13"/>
      <c r="G267" s="9"/>
      <c r="H267" s="3"/>
    </row>
    <row r="268" spans="1:8">
      <c r="A268" s="1"/>
      <c r="B268" s="1"/>
      <c r="C268" s="1"/>
      <c r="D268" s="1"/>
      <c r="F268" s="13"/>
      <c r="G268" s="9"/>
      <c r="H268" s="3"/>
    </row>
    <row r="269" spans="1:8">
      <c r="A269" s="1"/>
      <c r="B269" s="1"/>
      <c r="C269" s="1"/>
      <c r="D269" s="1"/>
      <c r="F269" s="13"/>
      <c r="G269" s="9"/>
      <c r="H269" s="3"/>
    </row>
    <row r="270" spans="1:8">
      <c r="A270" s="1"/>
      <c r="B270" s="1"/>
      <c r="C270" s="1"/>
      <c r="D270" s="1"/>
      <c r="F270" s="13"/>
      <c r="G270" s="9"/>
      <c r="H270" s="3"/>
    </row>
    <row r="271" spans="1:8">
      <c r="A271" s="1"/>
      <c r="B271" s="1"/>
      <c r="C271" s="1"/>
      <c r="D271" s="1"/>
      <c r="F271" s="13"/>
      <c r="G271" s="9"/>
      <c r="H271" s="3"/>
    </row>
    <row r="272" spans="1:8">
      <c r="A272" s="1"/>
      <c r="B272" s="1"/>
      <c r="C272" s="1"/>
      <c r="D272" s="1"/>
      <c r="F272" s="13"/>
      <c r="G272" s="9"/>
      <c r="H272" s="3"/>
    </row>
    <row r="273" spans="1:8">
      <c r="A273" s="1"/>
      <c r="B273" s="1"/>
      <c r="C273" s="1"/>
      <c r="D273" s="1"/>
      <c r="F273" s="13"/>
      <c r="G273" s="9"/>
      <c r="H273" s="3"/>
    </row>
    <row r="274" spans="1:8">
      <c r="A274" s="1"/>
      <c r="B274" s="1"/>
      <c r="C274" s="1"/>
      <c r="D274" s="1"/>
      <c r="F274" s="13"/>
      <c r="G274" s="9"/>
      <c r="H274" s="3"/>
    </row>
    <row r="275" spans="1:8">
      <c r="A275" s="1"/>
      <c r="B275" s="1"/>
      <c r="C275" s="1"/>
      <c r="D275" s="1"/>
      <c r="F275" s="13"/>
      <c r="G275" s="9"/>
      <c r="H275" s="3"/>
    </row>
    <row r="276" spans="1:8">
      <c r="A276" s="1"/>
      <c r="B276" s="1"/>
      <c r="C276" s="1"/>
      <c r="D276" s="1"/>
      <c r="F276" s="13"/>
      <c r="G276" s="9"/>
      <c r="H276" s="3"/>
    </row>
    <row r="277" spans="1:8">
      <c r="A277" s="1"/>
      <c r="B277" s="1"/>
      <c r="C277" s="1"/>
      <c r="D277" s="1"/>
      <c r="F277" s="13"/>
      <c r="G277" s="9"/>
      <c r="H277" s="3"/>
    </row>
    <row r="278" spans="1:8">
      <c r="A278" s="1"/>
      <c r="B278" s="1"/>
      <c r="C278" s="1"/>
      <c r="D278" s="1"/>
      <c r="F278" s="13"/>
      <c r="G278" s="9"/>
      <c r="H278" s="3"/>
    </row>
    <row r="279" spans="1:8">
      <c r="A279" s="1"/>
      <c r="B279" s="1"/>
      <c r="C279" s="1"/>
      <c r="D279" s="1"/>
      <c r="F279" s="13"/>
      <c r="G279" s="9"/>
      <c r="H279" s="3"/>
    </row>
    <row r="280" spans="1:8">
      <c r="A280" s="1"/>
      <c r="B280" s="1"/>
      <c r="C280" s="1"/>
      <c r="D280" s="1"/>
      <c r="F280" s="13"/>
      <c r="G280" s="9"/>
      <c r="H280" s="3"/>
    </row>
    <row r="281" spans="1:8">
      <c r="A281" s="1"/>
      <c r="B281" s="1"/>
      <c r="C281" s="1"/>
      <c r="D281" s="1"/>
      <c r="F281" s="13"/>
      <c r="G281" s="9"/>
      <c r="H281" s="3"/>
    </row>
    <row r="282" spans="1:8">
      <c r="A282" s="1"/>
      <c r="B282" s="1"/>
      <c r="C282" s="1"/>
      <c r="D282" s="1"/>
      <c r="F282" s="13"/>
      <c r="G282" s="9"/>
      <c r="H282" s="3"/>
    </row>
    <row r="283" spans="1:8">
      <c r="A283" s="1"/>
      <c r="B283" s="1"/>
      <c r="C283" s="1"/>
      <c r="D283" s="1"/>
      <c r="F283" s="13"/>
      <c r="G283" s="9"/>
      <c r="H283" s="3"/>
    </row>
    <row r="284" spans="1:8">
      <c r="A284" s="1"/>
      <c r="B284" s="1"/>
      <c r="C284" s="1"/>
      <c r="D284" s="1"/>
      <c r="F284" s="13"/>
      <c r="G284" s="9"/>
      <c r="H284" s="3"/>
    </row>
    <row r="285" spans="1:8">
      <c r="A285" s="1"/>
      <c r="B285" s="1"/>
      <c r="C285" s="1"/>
      <c r="D285" s="1"/>
      <c r="F285" s="13"/>
      <c r="G285" s="9"/>
      <c r="H285" s="3"/>
    </row>
    <row r="286" spans="1:8">
      <c r="A286" s="1"/>
      <c r="B286" s="1"/>
      <c r="C286" s="1"/>
      <c r="D286" s="1"/>
      <c r="F286" s="13"/>
      <c r="G286" s="9"/>
      <c r="H286" s="3"/>
    </row>
    <row r="287" spans="1:8">
      <c r="A287" s="1"/>
      <c r="B287" s="1"/>
      <c r="C287" s="1"/>
      <c r="D287" s="1"/>
      <c r="F287" s="13"/>
      <c r="G287" s="9"/>
      <c r="H287" s="3"/>
    </row>
    <row r="288" spans="1:8">
      <c r="A288" s="1"/>
      <c r="B288" s="1"/>
      <c r="C288" s="1"/>
      <c r="D288" s="1"/>
      <c r="F288" s="13"/>
      <c r="G288" s="9"/>
      <c r="H288" s="3"/>
    </row>
    <row r="289" spans="1:8">
      <c r="A289" s="1"/>
      <c r="B289" s="1"/>
      <c r="C289" s="1"/>
      <c r="D289" s="1"/>
      <c r="F289" s="13"/>
      <c r="G289" s="9"/>
      <c r="H289" s="3"/>
    </row>
    <row r="290" spans="1:8">
      <c r="A290" s="1"/>
      <c r="B290" s="1"/>
      <c r="C290" s="1"/>
      <c r="D290" s="1"/>
      <c r="F290" s="13"/>
      <c r="G290" s="9"/>
      <c r="H290" s="3"/>
    </row>
    <row r="291" spans="1:8">
      <c r="A291" s="1"/>
      <c r="B291" s="1"/>
      <c r="C291" s="1"/>
      <c r="D291" s="1"/>
      <c r="F291" s="13"/>
      <c r="G291" s="9"/>
      <c r="H291" s="3"/>
    </row>
    <row r="292" spans="1:8">
      <c r="A292" s="1"/>
      <c r="B292" s="1"/>
      <c r="C292" s="1"/>
      <c r="D292" s="1"/>
      <c r="F292" s="13"/>
      <c r="G292" s="9"/>
      <c r="H292" s="3"/>
    </row>
    <row r="293" spans="1:8">
      <c r="A293" s="1"/>
      <c r="B293" s="1"/>
      <c r="C293" s="1"/>
      <c r="D293" s="1"/>
      <c r="F293" s="13"/>
      <c r="G293" s="9"/>
      <c r="H293" s="3"/>
    </row>
    <row r="294" spans="1:8">
      <c r="A294" s="1"/>
      <c r="B294" s="1"/>
      <c r="C294" s="1"/>
      <c r="D294" s="1"/>
      <c r="F294" s="13"/>
      <c r="G294" s="9"/>
      <c r="H294" s="3"/>
    </row>
    <row r="295" spans="1:8">
      <c r="A295" s="1"/>
      <c r="B295" s="1"/>
      <c r="C295" s="1"/>
      <c r="D295" s="1"/>
      <c r="F295" s="13"/>
      <c r="G295" s="9"/>
      <c r="H295" s="3"/>
    </row>
    <row r="296" spans="1:8">
      <c r="A296" s="1"/>
      <c r="B296" s="1"/>
      <c r="C296" s="1"/>
      <c r="D296" s="1"/>
      <c r="F296" s="13"/>
      <c r="G296" s="9"/>
      <c r="H296" s="3"/>
    </row>
    <row r="297" spans="1:8">
      <c r="A297" s="1"/>
      <c r="B297" s="1"/>
      <c r="C297" s="1"/>
      <c r="D297" s="1"/>
      <c r="F297" s="13"/>
      <c r="G297" s="9"/>
      <c r="H297" s="3"/>
    </row>
    <row r="298" spans="1:8">
      <c r="A298" s="1"/>
      <c r="B298" s="1"/>
      <c r="C298" s="1"/>
      <c r="D298" s="1"/>
      <c r="F298" s="13"/>
      <c r="G298" s="9"/>
      <c r="H298" s="3"/>
    </row>
    <row r="299" spans="1:8">
      <c r="A299" s="1"/>
      <c r="B299" s="1"/>
      <c r="C299" s="1"/>
      <c r="D299" s="1"/>
      <c r="F299" s="13"/>
      <c r="G299" s="9"/>
      <c r="H299" s="3"/>
    </row>
    <row r="300" spans="1:8">
      <c r="A300" s="1"/>
      <c r="B300" s="1"/>
      <c r="C300" s="1"/>
      <c r="D300" s="1"/>
      <c r="F300" s="13"/>
      <c r="G300" s="9"/>
      <c r="H300" s="3"/>
    </row>
    <row r="301" spans="1:8">
      <c r="A301" s="1"/>
      <c r="B301" s="1"/>
      <c r="C301" s="1"/>
      <c r="D301" s="1"/>
      <c r="F301" s="13"/>
      <c r="G301" s="9"/>
      <c r="H301" s="3"/>
    </row>
    <row r="302" spans="1:8">
      <c r="A302" s="1"/>
      <c r="B302" s="1"/>
      <c r="C302" s="1"/>
      <c r="D302" s="1"/>
      <c r="F302" s="13"/>
      <c r="G302" s="9"/>
      <c r="H302" s="3"/>
    </row>
    <row r="303" spans="1:8">
      <c r="A303" s="1"/>
      <c r="B303" s="1"/>
      <c r="C303" s="1"/>
      <c r="D303" s="1"/>
      <c r="F303" s="13"/>
      <c r="G303" s="9"/>
      <c r="H303" s="3"/>
    </row>
    <row r="304" spans="1:8">
      <c r="A304" s="1"/>
      <c r="B304" s="1"/>
      <c r="C304" s="1"/>
      <c r="D304" s="1"/>
      <c r="F304" s="13"/>
      <c r="G304" s="9"/>
      <c r="H304" s="3"/>
    </row>
    <row r="305" spans="1:8">
      <c r="A305" s="1"/>
      <c r="B305" s="1"/>
      <c r="C305" s="1"/>
      <c r="D305" s="1"/>
      <c r="F305" s="13"/>
      <c r="G305" s="9"/>
      <c r="H305" s="3"/>
    </row>
    <row r="306" spans="1:8">
      <c r="A306" s="1"/>
      <c r="B306" s="1"/>
      <c r="C306" s="1"/>
      <c r="D306" s="1"/>
      <c r="F306" s="13"/>
      <c r="G306" s="9"/>
      <c r="H306" s="3"/>
    </row>
    <row r="307" spans="1:8">
      <c r="A307" s="1"/>
      <c r="B307" s="1"/>
      <c r="C307" s="1"/>
      <c r="D307" s="1"/>
      <c r="F307" s="13"/>
      <c r="G307" s="9"/>
      <c r="H307" s="3"/>
    </row>
    <row r="308" spans="1:8">
      <c r="A308" s="1"/>
      <c r="B308" s="1"/>
      <c r="C308" s="1"/>
      <c r="D308" s="1"/>
      <c r="F308" s="13"/>
      <c r="G308" s="9"/>
      <c r="H308" s="3"/>
    </row>
    <row r="309" spans="1:8">
      <c r="A309" s="1"/>
      <c r="B309" s="1"/>
      <c r="C309" s="1"/>
      <c r="D309" s="1"/>
      <c r="F309" s="13"/>
      <c r="G309" s="9"/>
      <c r="H309" s="3"/>
    </row>
    <row r="310" spans="1:8">
      <c r="A310" s="1"/>
      <c r="B310" s="1"/>
      <c r="C310" s="1"/>
      <c r="D310" s="1"/>
      <c r="F310" s="13"/>
      <c r="G310" s="9"/>
      <c r="H310" s="3"/>
    </row>
    <row r="311" spans="1:8">
      <c r="A311" s="1"/>
      <c r="B311" s="1"/>
      <c r="C311" s="1"/>
      <c r="D311" s="1"/>
      <c r="F311" s="13"/>
      <c r="G311" s="9"/>
      <c r="H311" s="3"/>
    </row>
    <row r="312" spans="1:8">
      <c r="A312" s="1"/>
      <c r="B312" s="1"/>
      <c r="C312" s="1"/>
      <c r="D312" s="1"/>
      <c r="F312" s="13"/>
      <c r="G312" s="9"/>
      <c r="H312" s="3"/>
    </row>
    <row r="313" spans="1:8">
      <c r="A313" s="1"/>
      <c r="B313" s="1"/>
      <c r="C313" s="1"/>
      <c r="D313" s="1"/>
      <c r="F313" s="13"/>
      <c r="G313" s="9"/>
      <c r="H313" s="3"/>
    </row>
    <row r="314" spans="1:8">
      <c r="A314" s="1"/>
      <c r="B314" s="1"/>
      <c r="C314" s="1"/>
      <c r="D314" s="1"/>
      <c r="F314" s="13"/>
      <c r="G314" s="9"/>
      <c r="H314" s="3"/>
    </row>
    <row r="315" spans="1:8">
      <c r="A315" s="1"/>
      <c r="B315" s="1"/>
      <c r="C315" s="1"/>
      <c r="D315" s="1"/>
      <c r="F315" s="13"/>
      <c r="G315" s="9"/>
      <c r="H315" s="3"/>
    </row>
    <row r="316" spans="1:8">
      <c r="A316" s="1"/>
      <c r="B316" s="1"/>
      <c r="C316" s="1"/>
      <c r="D316" s="1"/>
      <c r="F316" s="13"/>
      <c r="G316" s="9"/>
      <c r="H316" s="3"/>
    </row>
    <row r="317" spans="1:8">
      <c r="A317" s="1"/>
      <c r="B317" s="1"/>
      <c r="C317" s="1"/>
      <c r="D317" s="1"/>
      <c r="F317" s="13"/>
      <c r="G317" s="9"/>
      <c r="H317" s="3"/>
    </row>
    <row r="318" spans="1:8">
      <c r="A318" s="1"/>
      <c r="B318" s="1"/>
      <c r="C318" s="1"/>
      <c r="D318" s="1"/>
      <c r="F318" s="13"/>
      <c r="G318" s="9"/>
      <c r="H318" s="3"/>
    </row>
    <row r="319" spans="1:8">
      <c r="A319" s="1"/>
      <c r="B319" s="1"/>
      <c r="C319" s="1"/>
      <c r="D319" s="1"/>
      <c r="F319" s="13"/>
      <c r="G319" s="9"/>
      <c r="H319" s="3"/>
    </row>
    <row r="320" spans="1:8">
      <c r="A320" s="1"/>
      <c r="B320" s="1"/>
      <c r="C320" s="1"/>
      <c r="D320" s="1"/>
      <c r="F320" s="13"/>
      <c r="G320" s="9"/>
      <c r="H320" s="3"/>
    </row>
    <row r="321" spans="1:8">
      <c r="A321" s="1"/>
      <c r="B321" s="1"/>
      <c r="C321" s="1"/>
      <c r="D321" s="1"/>
      <c r="F321" s="13"/>
      <c r="G321" s="9"/>
      <c r="H321" s="3"/>
    </row>
    <row r="322" spans="1:8">
      <c r="A322" s="1"/>
      <c r="B322" s="1"/>
      <c r="C322" s="1"/>
      <c r="D322" s="1"/>
      <c r="F322" s="13"/>
      <c r="G322" s="9"/>
      <c r="H322" s="3"/>
    </row>
    <row r="323" spans="1:8">
      <c r="A323" s="1"/>
      <c r="B323" s="1"/>
      <c r="C323" s="1"/>
      <c r="D323" s="1"/>
      <c r="F323" s="13"/>
      <c r="G323" s="9"/>
      <c r="H323" s="3"/>
    </row>
    <row r="324" spans="1:8">
      <c r="A324" s="1"/>
      <c r="B324" s="1"/>
      <c r="C324" s="1"/>
      <c r="D324" s="1"/>
      <c r="F324" s="13"/>
      <c r="G324" s="9"/>
      <c r="H324" s="3"/>
    </row>
    <row r="325" spans="1:8">
      <c r="A325" s="1"/>
      <c r="B325" s="1"/>
      <c r="C325" s="1"/>
      <c r="D325" s="1"/>
      <c r="F325" s="13"/>
      <c r="G325" s="9"/>
      <c r="H325" s="3"/>
    </row>
    <row r="326" spans="1:8">
      <c r="A326" s="1"/>
      <c r="B326" s="1"/>
      <c r="C326" s="1"/>
      <c r="D326" s="1"/>
      <c r="F326" s="13"/>
      <c r="G326" s="9"/>
      <c r="H326" s="3"/>
    </row>
    <row r="327" spans="1:8">
      <c r="A327" s="1"/>
      <c r="B327" s="1"/>
      <c r="C327" s="1"/>
      <c r="D327" s="1"/>
      <c r="F327" s="13"/>
      <c r="G327" s="9"/>
      <c r="H327" s="3"/>
    </row>
    <row r="328" spans="1:8">
      <c r="A328" s="1"/>
      <c r="B328" s="1"/>
      <c r="C328" s="1"/>
      <c r="D328" s="1"/>
      <c r="F328" s="13"/>
      <c r="G328" s="9"/>
      <c r="H328" s="3"/>
    </row>
    <row r="329" spans="1:8">
      <c r="A329" s="1"/>
      <c r="B329" s="1"/>
      <c r="C329" s="1"/>
      <c r="D329" s="1"/>
      <c r="F329" s="13"/>
      <c r="G329" s="9"/>
      <c r="H329" s="3"/>
    </row>
    <row r="330" spans="1:8">
      <c r="A330" s="1"/>
      <c r="B330" s="1"/>
      <c r="C330" s="1"/>
      <c r="D330" s="1"/>
      <c r="F330" s="13"/>
      <c r="G330" s="9"/>
      <c r="H330" s="3"/>
    </row>
    <row r="331" spans="1:8">
      <c r="A331" s="1"/>
      <c r="B331" s="1"/>
      <c r="C331" s="1"/>
      <c r="D331" s="1"/>
      <c r="F331" s="13"/>
      <c r="G331" s="9"/>
      <c r="H331" s="3"/>
    </row>
    <row r="332" spans="1:8">
      <c r="A332" s="1"/>
      <c r="B332" s="1"/>
      <c r="C332" s="1"/>
      <c r="D332" s="1"/>
      <c r="F332" s="13"/>
      <c r="G332" s="9"/>
      <c r="H332" s="3"/>
    </row>
    <row r="333" spans="1:8">
      <c r="A333" s="1"/>
      <c r="B333" s="1"/>
      <c r="C333" s="1"/>
      <c r="D333" s="1"/>
      <c r="F333" s="13"/>
      <c r="G333" s="9"/>
      <c r="H333" s="3"/>
    </row>
    <row r="334" spans="1:8">
      <c r="A334" s="1"/>
      <c r="B334" s="1"/>
      <c r="C334" s="1"/>
      <c r="D334" s="1"/>
      <c r="F334" s="13"/>
      <c r="G334" s="9"/>
      <c r="H334" s="3"/>
    </row>
    <row r="335" spans="1:8">
      <c r="A335" s="1"/>
      <c r="B335" s="1"/>
      <c r="C335" s="1"/>
      <c r="D335" s="1"/>
      <c r="F335" s="13"/>
      <c r="G335" s="9"/>
      <c r="H335" s="3"/>
    </row>
    <row r="336" spans="1:8">
      <c r="A336" s="1"/>
      <c r="B336" s="1"/>
      <c r="C336" s="1"/>
      <c r="D336" s="1"/>
      <c r="F336" s="13"/>
      <c r="G336" s="9"/>
      <c r="H336" s="3"/>
    </row>
    <row r="337" spans="1:8">
      <c r="A337" s="1"/>
      <c r="B337" s="1"/>
      <c r="C337" s="1"/>
      <c r="D337" s="1"/>
      <c r="F337" s="13"/>
      <c r="G337" s="9"/>
      <c r="H337" s="3"/>
    </row>
    <row r="338" spans="1:8">
      <c r="A338" s="1"/>
      <c r="B338" s="1"/>
      <c r="C338" s="1"/>
      <c r="D338" s="1"/>
      <c r="F338" s="13"/>
      <c r="G338" s="9"/>
      <c r="H338" s="3"/>
    </row>
    <row r="339" spans="1:8">
      <c r="A339" s="1"/>
      <c r="B339" s="1"/>
      <c r="C339" s="1"/>
      <c r="D339" s="1"/>
      <c r="F339" s="13"/>
      <c r="G339" s="9"/>
      <c r="H339" s="3"/>
    </row>
    <row r="340" spans="1:8">
      <c r="A340" s="1"/>
      <c r="B340" s="1"/>
      <c r="C340" s="1"/>
      <c r="D340" s="1"/>
      <c r="F340" s="13"/>
      <c r="G340" s="9"/>
      <c r="H340" s="3"/>
    </row>
    <row r="341" spans="1:8">
      <c r="A341" s="1"/>
      <c r="B341" s="1"/>
      <c r="C341" s="1"/>
      <c r="D341" s="1"/>
      <c r="F341" s="13"/>
      <c r="G341" s="9"/>
      <c r="H341" s="3"/>
    </row>
    <row r="342" spans="1:8">
      <c r="A342" s="1"/>
      <c r="B342" s="1"/>
      <c r="C342" s="1"/>
      <c r="D342" s="1"/>
      <c r="F342" s="13"/>
      <c r="G342" s="9"/>
      <c r="H342" s="3"/>
    </row>
    <row r="343" spans="1:8">
      <c r="A343" s="1"/>
      <c r="B343" s="1"/>
      <c r="C343" s="1"/>
      <c r="D343" s="1"/>
      <c r="F343" s="13"/>
      <c r="G343" s="9"/>
      <c r="H343" s="3"/>
    </row>
    <row r="344" spans="1:8">
      <c r="A344" s="1"/>
      <c r="B344" s="1"/>
      <c r="C344" s="1"/>
      <c r="D344" s="1"/>
      <c r="F344" s="13"/>
      <c r="G344" s="9"/>
      <c r="H344" s="3"/>
    </row>
    <row r="345" spans="1:8">
      <c r="A345" s="1"/>
      <c r="B345" s="1"/>
      <c r="C345" s="1"/>
      <c r="D345" s="1"/>
      <c r="F345" s="13"/>
      <c r="G345" s="9"/>
      <c r="H345" s="3"/>
    </row>
    <row r="346" spans="1:8">
      <c r="A346" s="1"/>
      <c r="B346" s="1"/>
      <c r="C346" s="1"/>
      <c r="D346" s="1"/>
      <c r="F346" s="13"/>
      <c r="G346" s="9"/>
      <c r="H346" s="3"/>
    </row>
    <row r="347" spans="1:8">
      <c r="A347" s="1"/>
      <c r="B347" s="1"/>
      <c r="C347" s="1"/>
      <c r="D347" s="1"/>
      <c r="F347" s="13"/>
      <c r="G347" s="9"/>
      <c r="H347" s="3"/>
    </row>
    <row r="348" spans="1:8">
      <c r="A348" s="1"/>
      <c r="B348" s="1"/>
      <c r="C348" s="1"/>
      <c r="D348" s="1"/>
      <c r="F348" s="13"/>
      <c r="G348" s="9"/>
      <c r="H348" s="3"/>
    </row>
    <row r="349" spans="1:8">
      <c r="A349" s="1"/>
      <c r="B349" s="1"/>
      <c r="C349" s="1"/>
      <c r="D349" s="1"/>
      <c r="F349" s="13"/>
      <c r="G349" s="9"/>
      <c r="H349" s="3"/>
    </row>
    <row r="350" spans="1:8">
      <c r="A350" s="20"/>
      <c r="B350" s="20"/>
      <c r="C350" s="20"/>
      <c r="D350" s="20"/>
      <c r="E350" s="20"/>
      <c r="F350" s="48"/>
      <c r="G350" s="49"/>
      <c r="H350" s="50"/>
    </row>
    <row r="351" spans="1:8">
      <c r="A351" s="20"/>
      <c r="B351" s="20"/>
      <c r="C351" s="20"/>
      <c r="D351" s="20"/>
      <c r="E351" s="20"/>
      <c r="F351" s="48"/>
      <c r="G351" s="49"/>
      <c r="H351" s="50"/>
    </row>
    <row r="352" spans="1:8">
      <c r="A352" s="20"/>
      <c r="B352" s="20"/>
      <c r="C352" s="20"/>
      <c r="D352" s="20"/>
      <c r="E352" s="20"/>
      <c r="F352" s="48"/>
      <c r="G352" s="49"/>
      <c r="H352" s="50"/>
    </row>
    <row r="353" spans="1:8">
      <c r="A353" s="20"/>
      <c r="B353" s="20"/>
      <c r="C353" s="20"/>
      <c r="D353" s="20"/>
      <c r="E353" s="20"/>
      <c r="F353" s="48"/>
      <c r="G353" s="49"/>
      <c r="H353" s="50"/>
    </row>
    <row r="354" spans="1:8">
      <c r="A354" s="1"/>
      <c r="B354" s="1"/>
      <c r="C354" s="1"/>
      <c r="D354" s="1"/>
      <c r="F354" s="8"/>
      <c r="G354" s="18"/>
      <c r="H354" s="3"/>
    </row>
    <row r="355" spans="1:8">
      <c r="A355" s="1"/>
      <c r="B355" s="1"/>
      <c r="C355" s="1"/>
      <c r="D355" s="1"/>
      <c r="F355" s="8"/>
      <c r="G355" s="18"/>
      <c r="H355" s="3"/>
    </row>
    <row r="356" spans="1:8">
      <c r="A356" s="1"/>
      <c r="B356" s="1"/>
      <c r="C356" s="1"/>
      <c r="D356" s="1"/>
      <c r="F356" s="8"/>
      <c r="G356" s="18"/>
      <c r="H356" s="3"/>
    </row>
    <row r="357" spans="1:8">
      <c r="A357" s="1"/>
      <c r="B357" s="1"/>
      <c r="C357" s="1"/>
      <c r="D357" s="1"/>
      <c r="F357" s="8"/>
      <c r="G357" s="18"/>
      <c r="H357" s="3"/>
    </row>
    <row r="358" spans="1:8">
      <c r="A358" s="1"/>
      <c r="B358" s="1"/>
      <c r="C358" s="1"/>
      <c r="D358" s="1"/>
      <c r="F358" s="8"/>
      <c r="G358" s="18"/>
      <c r="H358" s="3"/>
    </row>
    <row r="359" spans="1:8">
      <c r="A359" s="1"/>
      <c r="B359" s="1"/>
      <c r="C359" s="1"/>
      <c r="D359" s="1"/>
      <c r="F359" s="8"/>
      <c r="G359" s="18"/>
      <c r="H359" s="3"/>
    </row>
    <row r="360" spans="1:8">
      <c r="A360" s="1"/>
      <c r="B360" s="1"/>
      <c r="C360" s="1"/>
      <c r="D360" s="1"/>
      <c r="F360" s="8"/>
      <c r="G360" s="18"/>
      <c r="H360" s="3"/>
    </row>
    <row r="361" spans="1:8">
      <c r="A361" s="1"/>
      <c r="B361" s="1"/>
      <c r="C361" s="1"/>
      <c r="D361" s="1"/>
      <c r="F361" s="8"/>
      <c r="G361" s="18"/>
      <c r="H361" s="3"/>
    </row>
    <row r="362" spans="1:8">
      <c r="A362" s="1"/>
      <c r="B362" s="1"/>
      <c r="C362" s="1"/>
      <c r="D362" s="1"/>
      <c r="F362" s="8"/>
      <c r="G362" s="18"/>
      <c r="H362" s="3"/>
    </row>
    <row r="363" spans="1:8">
      <c r="A363" s="1"/>
      <c r="B363" s="1"/>
      <c r="C363" s="1"/>
      <c r="D363" s="1"/>
      <c r="F363" s="8"/>
      <c r="G363" s="18"/>
      <c r="H363" s="3"/>
    </row>
    <row r="364" spans="1:8">
      <c r="A364" s="1"/>
      <c r="B364" s="1"/>
      <c r="C364" s="1"/>
      <c r="D364" s="1"/>
      <c r="F364" s="8"/>
      <c r="G364" s="18"/>
      <c r="H364" s="3"/>
    </row>
    <row r="365" spans="1:8">
      <c r="A365" s="1"/>
      <c r="B365" s="1"/>
      <c r="C365" s="1"/>
      <c r="D365" s="1"/>
      <c r="F365" s="8"/>
      <c r="G365" s="18"/>
      <c r="H365" s="3"/>
    </row>
    <row r="366" spans="1:8">
      <c r="A366" s="1"/>
      <c r="B366" s="1"/>
      <c r="C366" s="1"/>
      <c r="D366" s="1"/>
      <c r="F366" s="8"/>
      <c r="G366" s="18"/>
      <c r="H366" s="3"/>
    </row>
    <row r="367" spans="1:8">
      <c r="A367" s="1"/>
      <c r="B367" s="1"/>
      <c r="C367" s="1"/>
      <c r="D367" s="1"/>
      <c r="F367" s="8"/>
      <c r="G367" s="18"/>
      <c r="H367" s="3"/>
    </row>
    <row r="368" spans="1:8">
      <c r="A368" s="1"/>
      <c r="B368" s="1"/>
      <c r="C368" s="1"/>
      <c r="D368" s="1"/>
      <c r="F368" s="8"/>
      <c r="G368" s="18"/>
      <c r="H368" s="3"/>
    </row>
    <row r="369" spans="1:8">
      <c r="A369" s="1"/>
      <c r="B369" s="1"/>
      <c r="C369" s="1"/>
      <c r="D369" s="1"/>
      <c r="F369" s="8"/>
      <c r="G369" s="18"/>
      <c r="H369" s="3"/>
    </row>
    <row r="370" spans="1:8">
      <c r="A370" s="1"/>
      <c r="B370" s="1"/>
      <c r="C370" s="1"/>
      <c r="D370" s="1"/>
      <c r="F370" s="8"/>
      <c r="G370" s="18"/>
      <c r="H370" s="3"/>
    </row>
    <row r="371" spans="1:8">
      <c r="A371" s="1"/>
      <c r="B371" s="1"/>
      <c r="C371" s="1"/>
      <c r="D371" s="1"/>
      <c r="F371" s="8"/>
      <c r="G371" s="18"/>
      <c r="H371" s="3"/>
    </row>
    <row r="372" spans="1:8">
      <c r="A372" s="1"/>
      <c r="B372" s="1"/>
      <c r="C372" s="1"/>
      <c r="D372" s="1"/>
      <c r="F372" s="8"/>
      <c r="G372" s="18"/>
      <c r="H372" s="3"/>
    </row>
    <row r="373" spans="1:8">
      <c r="A373" s="1"/>
      <c r="B373" s="1"/>
      <c r="C373" s="1"/>
      <c r="D373" s="1"/>
      <c r="F373" s="8"/>
      <c r="G373" s="18"/>
      <c r="H373" s="3"/>
    </row>
    <row r="374" spans="1:8">
      <c r="A374" s="1"/>
      <c r="B374" s="1"/>
      <c r="C374" s="1"/>
      <c r="D374" s="1"/>
      <c r="F374" s="8"/>
      <c r="G374" s="18"/>
      <c r="H374" s="3"/>
    </row>
    <row r="375" spans="1:8">
      <c r="A375" s="1"/>
      <c r="B375" s="1"/>
      <c r="C375" s="1"/>
      <c r="D375" s="1"/>
      <c r="F375" s="8"/>
      <c r="G375" s="18"/>
      <c r="H375" s="3"/>
    </row>
    <row r="376" spans="1:8">
      <c r="A376" s="1"/>
      <c r="B376" s="1"/>
      <c r="C376" s="1"/>
      <c r="D376" s="1"/>
      <c r="F376" s="8"/>
      <c r="G376" s="18"/>
      <c r="H376" s="3"/>
    </row>
    <row r="377" spans="1:8">
      <c r="A377" s="1"/>
      <c r="B377" s="1"/>
      <c r="C377" s="1"/>
      <c r="D377" s="1"/>
      <c r="F377" s="8"/>
      <c r="G377" s="18"/>
      <c r="H377" s="3"/>
    </row>
    <row r="378" spans="1:8">
      <c r="A378" s="1"/>
      <c r="B378" s="1"/>
      <c r="C378" s="1"/>
      <c r="D378" s="1"/>
      <c r="F378" s="8"/>
      <c r="G378" s="18"/>
      <c r="H378" s="3"/>
    </row>
    <row r="379" spans="1:8">
      <c r="A379" s="1"/>
      <c r="B379" s="1"/>
      <c r="C379" s="1"/>
      <c r="D379" s="1"/>
      <c r="F379" s="8"/>
      <c r="G379" s="18"/>
      <c r="H379" s="3"/>
    </row>
    <row r="380" spans="1:8">
      <c r="A380" s="1"/>
      <c r="B380" s="1"/>
      <c r="C380" s="1"/>
      <c r="D380" s="1"/>
      <c r="F380" s="8"/>
      <c r="G380" s="18"/>
      <c r="H380" s="3"/>
    </row>
    <row r="381" spans="1:8">
      <c r="A381" s="1"/>
      <c r="B381" s="1"/>
      <c r="C381" s="1"/>
      <c r="D381" s="1"/>
      <c r="F381" s="8"/>
      <c r="G381" s="18"/>
      <c r="H381" s="3"/>
    </row>
    <row r="382" spans="1:8">
      <c r="A382" s="1"/>
      <c r="B382" s="1"/>
      <c r="C382" s="1"/>
      <c r="D382" s="1"/>
      <c r="F382" s="8"/>
      <c r="G382" s="18"/>
      <c r="H382" s="3"/>
    </row>
    <row r="383" spans="1:8">
      <c r="A383" s="1"/>
      <c r="B383" s="1"/>
      <c r="C383" s="1"/>
      <c r="D383" s="1"/>
      <c r="F383" s="8"/>
      <c r="G383" s="18"/>
      <c r="H383" s="3"/>
    </row>
    <row r="384" spans="1:8">
      <c r="A384" s="1"/>
      <c r="B384" s="1"/>
      <c r="C384" s="1"/>
      <c r="D384" s="1"/>
      <c r="F384" s="8"/>
      <c r="G384" s="18"/>
      <c r="H384" s="3"/>
    </row>
    <row r="385" spans="1:8">
      <c r="A385" s="1"/>
      <c r="B385" s="1"/>
      <c r="C385" s="1"/>
      <c r="D385" s="1"/>
      <c r="F385" s="8"/>
      <c r="G385" s="18"/>
      <c r="H385" s="3"/>
    </row>
    <row r="386" spans="1:8">
      <c r="A386" s="1"/>
      <c r="B386" s="1"/>
      <c r="C386" s="1"/>
      <c r="D386" s="1"/>
      <c r="F386" s="8"/>
      <c r="G386" s="18"/>
      <c r="H386" s="3"/>
    </row>
    <row r="387" spans="1:8">
      <c r="A387" s="1"/>
      <c r="B387" s="1"/>
      <c r="C387" s="1"/>
      <c r="D387" s="1"/>
      <c r="F387" s="8"/>
      <c r="G387" s="18"/>
      <c r="H387" s="3"/>
    </row>
    <row r="388" spans="1:8">
      <c r="A388" s="1"/>
      <c r="B388" s="1"/>
      <c r="C388" s="1"/>
      <c r="D388" s="1"/>
      <c r="F388" s="8"/>
      <c r="G388" s="18"/>
      <c r="H388" s="3"/>
    </row>
    <row r="389" spans="1:8">
      <c r="A389" s="1"/>
      <c r="B389" s="1"/>
      <c r="C389" s="1"/>
      <c r="D389" s="1"/>
      <c r="F389" s="8"/>
      <c r="G389" s="18"/>
      <c r="H389" s="3"/>
    </row>
    <row r="390" spans="1:8">
      <c r="A390" s="1"/>
      <c r="B390" s="1"/>
      <c r="C390" s="1"/>
      <c r="D390" s="1"/>
      <c r="F390" s="8"/>
      <c r="G390" s="18"/>
      <c r="H390" s="3"/>
    </row>
    <row r="391" spans="1:8">
      <c r="A391" s="1"/>
      <c r="B391" s="1"/>
      <c r="C391" s="1"/>
      <c r="D391" s="1"/>
      <c r="F391" s="8"/>
      <c r="G391" s="18"/>
      <c r="H391" s="3"/>
    </row>
    <row r="392" spans="1:8">
      <c r="A392" s="1"/>
      <c r="B392" s="1"/>
      <c r="C392" s="1"/>
      <c r="D392" s="1"/>
      <c r="F392" s="8"/>
      <c r="G392" s="18"/>
      <c r="H392" s="3"/>
    </row>
    <row r="393" spans="1:8">
      <c r="A393" s="1"/>
      <c r="B393" s="1"/>
      <c r="C393" s="1"/>
      <c r="D393" s="1"/>
      <c r="F393" s="8"/>
      <c r="G393" s="18"/>
      <c r="H393" s="3"/>
    </row>
    <row r="394" spans="1:8">
      <c r="A394" s="1"/>
      <c r="B394" s="1"/>
      <c r="C394" s="1"/>
      <c r="D394" s="1"/>
      <c r="F394" s="8"/>
      <c r="G394" s="18"/>
      <c r="H394" s="3"/>
    </row>
    <row r="395" spans="1:8">
      <c r="A395" s="1"/>
      <c r="B395" s="1"/>
      <c r="C395" s="1"/>
      <c r="D395" s="1"/>
      <c r="F395" s="8"/>
      <c r="G395" s="18"/>
      <c r="H395" s="3"/>
    </row>
    <row r="396" spans="1:8">
      <c r="A396" s="1"/>
      <c r="B396" s="1"/>
      <c r="C396" s="1"/>
      <c r="D396" s="1"/>
      <c r="F396" s="8"/>
      <c r="G396" s="18"/>
      <c r="H396" s="3"/>
    </row>
    <row r="397" spans="1:8">
      <c r="A397" s="1"/>
      <c r="B397" s="1"/>
      <c r="C397" s="1"/>
      <c r="D397" s="1"/>
      <c r="F397" s="8"/>
      <c r="G397" s="18"/>
      <c r="H397" s="3"/>
    </row>
    <row r="398" spans="1:8">
      <c r="A398" s="1"/>
      <c r="B398" s="1"/>
      <c r="C398" s="1"/>
      <c r="D398" s="1"/>
      <c r="F398" s="8"/>
      <c r="G398" s="18"/>
      <c r="H398" s="3"/>
    </row>
    <row r="399" spans="1:8">
      <c r="A399" s="1"/>
      <c r="B399" s="1"/>
      <c r="C399" s="1"/>
      <c r="D399" s="1"/>
      <c r="F399" s="8"/>
      <c r="G399" s="18"/>
      <c r="H399" s="3"/>
    </row>
    <row r="400" spans="1:8">
      <c r="A400" s="1"/>
      <c r="B400" s="1"/>
      <c r="C400" s="1"/>
      <c r="D400" s="1"/>
      <c r="F400" s="8"/>
      <c r="G400" s="18"/>
      <c r="H400" s="3"/>
    </row>
    <row r="401" spans="1:8">
      <c r="A401" s="1"/>
      <c r="B401" s="1"/>
      <c r="C401" s="1"/>
      <c r="D401" s="1"/>
      <c r="F401" s="8"/>
      <c r="G401" s="18"/>
      <c r="H401" s="3"/>
    </row>
    <row r="402" spans="1:8">
      <c r="A402" s="1"/>
      <c r="B402" s="1"/>
      <c r="C402" s="1"/>
      <c r="D402" s="1"/>
      <c r="F402" s="8"/>
      <c r="G402" s="18"/>
      <c r="H402" s="3"/>
    </row>
    <row r="403" spans="1:8">
      <c r="A403" s="1"/>
      <c r="B403" s="1"/>
      <c r="C403" s="1"/>
      <c r="D403" s="1"/>
      <c r="F403" s="8"/>
      <c r="G403" s="18"/>
      <c r="H403" s="3"/>
    </row>
    <row r="404" spans="1:8">
      <c r="A404" s="1"/>
      <c r="B404" s="1"/>
      <c r="C404" s="1"/>
      <c r="D404" s="1"/>
      <c r="F404" s="8"/>
      <c r="G404" s="18"/>
      <c r="H404" s="3"/>
    </row>
    <row r="405" spans="1:8">
      <c r="A405" s="1"/>
      <c r="B405" s="1"/>
      <c r="C405" s="1"/>
      <c r="D405" s="1"/>
      <c r="F405" s="8"/>
      <c r="G405" s="18"/>
      <c r="H405" s="3"/>
    </row>
    <row r="406" spans="1:8">
      <c r="A406" s="1"/>
      <c r="B406" s="1"/>
      <c r="C406" s="1"/>
      <c r="D406" s="1"/>
      <c r="F406" s="8"/>
      <c r="G406" s="18"/>
      <c r="H406" s="3"/>
    </row>
    <row r="407" spans="1:8">
      <c r="A407" s="1"/>
      <c r="B407" s="1"/>
      <c r="C407" s="1"/>
      <c r="D407" s="1"/>
      <c r="F407" s="8"/>
      <c r="G407" s="18"/>
      <c r="H407" s="3"/>
    </row>
    <row r="408" spans="1:8">
      <c r="A408" s="1"/>
      <c r="B408" s="1"/>
      <c r="C408" s="1"/>
      <c r="D408" s="1"/>
      <c r="F408" s="8"/>
      <c r="G408" s="18"/>
      <c r="H408" s="3"/>
    </row>
    <row r="409" spans="1:8">
      <c r="A409" s="1"/>
      <c r="B409" s="1"/>
      <c r="C409" s="1"/>
      <c r="D409" s="1"/>
      <c r="F409" s="8"/>
      <c r="G409" s="18"/>
      <c r="H409" s="3"/>
    </row>
    <row r="410" spans="1:8">
      <c r="A410" s="1"/>
      <c r="B410" s="1"/>
      <c r="C410" s="1"/>
      <c r="D410" s="1"/>
      <c r="F410" s="8"/>
      <c r="G410" s="18"/>
      <c r="H410" s="3"/>
    </row>
    <row r="411" spans="1:8">
      <c r="A411" s="1"/>
      <c r="B411" s="1"/>
      <c r="C411" s="1"/>
      <c r="D411" s="1"/>
      <c r="F411" s="8"/>
      <c r="G411" s="18"/>
      <c r="H411" s="3"/>
    </row>
    <row r="412" spans="1:8">
      <c r="A412" s="1"/>
      <c r="B412" s="1"/>
      <c r="C412" s="1"/>
      <c r="D412" s="1"/>
      <c r="F412" s="8"/>
      <c r="G412" s="18"/>
      <c r="H412" s="3"/>
    </row>
    <row r="413" spans="1:8">
      <c r="A413" s="1"/>
      <c r="B413" s="1"/>
      <c r="C413" s="1"/>
      <c r="D413" s="1"/>
      <c r="F413" s="8"/>
      <c r="G413" s="18"/>
      <c r="H413" s="3"/>
    </row>
    <row r="414" spans="1:8">
      <c r="A414" s="1"/>
      <c r="B414" s="1"/>
      <c r="C414" s="1"/>
      <c r="D414" s="1"/>
      <c r="F414" s="8"/>
      <c r="G414" s="18"/>
      <c r="H414" s="3"/>
    </row>
    <row r="415" spans="1:8">
      <c r="A415" s="1"/>
      <c r="B415" s="1"/>
      <c r="C415" s="1"/>
      <c r="D415" s="1"/>
      <c r="F415" s="8"/>
      <c r="G415" s="18"/>
      <c r="H415" s="3"/>
    </row>
    <row r="416" spans="1:8">
      <c r="A416" s="1"/>
      <c r="B416" s="1"/>
      <c r="C416" s="1"/>
      <c r="D416" s="1"/>
      <c r="F416" s="8"/>
      <c r="G416" s="18"/>
      <c r="H416" s="3"/>
    </row>
    <row r="417" spans="1:8">
      <c r="A417" s="1"/>
      <c r="B417" s="1"/>
      <c r="C417" s="1"/>
      <c r="D417" s="1"/>
      <c r="F417" s="8"/>
      <c r="G417" s="18"/>
      <c r="H417" s="3"/>
    </row>
    <row r="418" spans="1:8">
      <c r="A418" s="1"/>
      <c r="B418" s="1"/>
      <c r="C418" s="1"/>
      <c r="D418" s="1"/>
      <c r="F418" s="8"/>
      <c r="G418" s="18"/>
      <c r="H418" s="3"/>
    </row>
    <row r="419" spans="1:8">
      <c r="A419" s="1"/>
      <c r="B419" s="1"/>
      <c r="C419" s="1"/>
      <c r="D419" s="1"/>
      <c r="F419" s="8"/>
      <c r="G419" s="18"/>
      <c r="H419" s="3"/>
    </row>
    <row r="420" spans="1:8">
      <c r="A420" s="1"/>
      <c r="B420" s="1"/>
      <c r="C420" s="1"/>
      <c r="D420" s="1"/>
      <c r="F420" s="8"/>
      <c r="G420" s="18"/>
      <c r="H420" s="3"/>
    </row>
    <row r="421" spans="1:8">
      <c r="A421" s="1"/>
      <c r="B421" s="1"/>
      <c r="C421" s="1"/>
      <c r="D421" s="1"/>
      <c r="F421" s="8"/>
      <c r="G421" s="18"/>
      <c r="H421" s="3"/>
    </row>
    <row r="422" spans="1:8">
      <c r="A422" s="1"/>
      <c r="B422" s="1"/>
      <c r="C422" s="1"/>
      <c r="D422" s="1"/>
      <c r="F422" s="8"/>
      <c r="G422" s="18"/>
      <c r="H422" s="3"/>
    </row>
    <row r="423" spans="1:8">
      <c r="A423" s="1"/>
      <c r="B423" s="1"/>
      <c r="C423" s="1"/>
      <c r="D423" s="1"/>
      <c r="F423" s="8"/>
      <c r="G423" s="18"/>
      <c r="H423" s="3"/>
    </row>
    <row r="424" spans="1:8">
      <c r="A424" s="1"/>
      <c r="B424" s="1"/>
      <c r="C424" s="1"/>
      <c r="D424" s="1"/>
      <c r="F424" s="8"/>
      <c r="G424" s="18"/>
      <c r="H424" s="3"/>
    </row>
    <row r="425" spans="1:8">
      <c r="A425" s="1"/>
      <c r="B425" s="1"/>
      <c r="C425" s="1"/>
      <c r="D425" s="1"/>
      <c r="F425" s="8"/>
      <c r="G425" s="18"/>
      <c r="H425" s="3"/>
    </row>
    <row r="426" spans="1:8">
      <c r="A426" s="1"/>
      <c r="B426" s="1"/>
      <c r="C426" s="1"/>
      <c r="D426" s="1"/>
      <c r="F426" s="8"/>
      <c r="G426" s="18"/>
      <c r="H426" s="3"/>
    </row>
    <row r="427" spans="1:8">
      <c r="A427" s="1"/>
      <c r="B427" s="1"/>
      <c r="C427" s="1"/>
      <c r="D427" s="1"/>
      <c r="F427" s="8"/>
      <c r="G427" s="18"/>
      <c r="H427" s="3"/>
    </row>
    <row r="428" spans="1:8">
      <c r="A428" s="1"/>
      <c r="B428" s="1"/>
      <c r="C428" s="1"/>
      <c r="D428" s="1"/>
      <c r="F428" s="8"/>
      <c r="G428" s="18"/>
      <c r="H428" s="3"/>
    </row>
    <row r="429" spans="1:8">
      <c r="A429" s="1"/>
      <c r="B429" s="1"/>
      <c r="C429" s="1"/>
      <c r="D429" s="1"/>
      <c r="F429" s="8"/>
      <c r="G429" s="18"/>
      <c r="H429" s="3"/>
    </row>
    <row r="430" spans="1:8">
      <c r="A430" s="1"/>
      <c r="B430" s="1"/>
      <c r="C430" s="1"/>
      <c r="D430" s="1"/>
      <c r="F430" s="8"/>
      <c r="G430" s="18"/>
      <c r="H430" s="3"/>
    </row>
    <row r="431" spans="1:8">
      <c r="A431" s="1"/>
      <c r="B431" s="1"/>
      <c r="C431" s="1"/>
      <c r="D431" s="1"/>
      <c r="F431" s="8"/>
      <c r="G431" s="18"/>
      <c r="H431" s="3"/>
    </row>
    <row r="432" spans="1:8">
      <c r="A432" s="1"/>
      <c r="B432" s="1"/>
      <c r="C432" s="1"/>
      <c r="D432" s="1"/>
      <c r="F432" s="8"/>
      <c r="G432" s="18"/>
      <c r="H432" s="3"/>
    </row>
    <row r="433" spans="1:8">
      <c r="A433" s="1"/>
      <c r="B433" s="1"/>
      <c r="C433" s="1"/>
      <c r="D433" s="1"/>
      <c r="F433" s="8"/>
      <c r="G433" s="18"/>
      <c r="H433" s="3"/>
    </row>
    <row r="434" spans="1:8">
      <c r="A434" s="1"/>
      <c r="B434" s="1"/>
      <c r="C434" s="1"/>
      <c r="D434" s="1"/>
      <c r="F434" s="8"/>
      <c r="G434" s="18"/>
      <c r="H434" s="3"/>
    </row>
    <row r="435" spans="1:8">
      <c r="A435" s="1"/>
      <c r="B435" s="1"/>
      <c r="C435" s="1"/>
      <c r="D435" s="1"/>
      <c r="F435" s="8"/>
      <c r="G435" s="18"/>
      <c r="H435" s="3"/>
    </row>
    <row r="436" spans="1:8">
      <c r="A436" s="1"/>
      <c r="B436" s="1"/>
      <c r="C436" s="1"/>
      <c r="D436" s="1"/>
      <c r="F436" s="8"/>
      <c r="G436" s="18"/>
      <c r="H436" s="3"/>
    </row>
    <row r="437" spans="1:8">
      <c r="A437" s="1"/>
      <c r="B437" s="1"/>
      <c r="C437" s="1"/>
      <c r="D437" s="1"/>
      <c r="F437" s="8"/>
      <c r="G437" s="18"/>
      <c r="H437" s="3"/>
    </row>
    <row r="438" spans="1:8">
      <c r="A438" s="1"/>
      <c r="B438" s="1"/>
      <c r="C438" s="1"/>
      <c r="D438" s="1"/>
      <c r="F438" s="8"/>
      <c r="G438" s="18"/>
      <c r="H438" s="3"/>
    </row>
    <row r="439" spans="1:8">
      <c r="A439" s="1"/>
      <c r="B439" s="1"/>
      <c r="C439" s="1"/>
      <c r="D439" s="1"/>
      <c r="F439" s="8"/>
      <c r="G439" s="18"/>
      <c r="H439" s="3"/>
    </row>
    <row r="440" spans="1:8">
      <c r="A440" s="1"/>
      <c r="B440" s="1"/>
      <c r="C440" s="1"/>
      <c r="D440" s="1"/>
      <c r="F440" s="8"/>
      <c r="G440" s="18"/>
      <c r="H440" s="3"/>
    </row>
    <row r="441" spans="1:8">
      <c r="A441" s="1"/>
      <c r="B441" s="1"/>
      <c r="C441" s="1"/>
      <c r="D441" s="1"/>
      <c r="F441" s="8"/>
      <c r="G441" s="18"/>
      <c r="H441" s="3"/>
    </row>
    <row r="442" spans="1:8">
      <c r="A442" s="1"/>
      <c r="B442" s="1"/>
      <c r="C442" s="1"/>
      <c r="D442" s="1"/>
      <c r="F442" s="8"/>
      <c r="G442" s="18"/>
      <c r="H442" s="3"/>
    </row>
    <row r="443" spans="1:8">
      <c r="A443" s="1"/>
      <c r="B443" s="1"/>
      <c r="C443" s="1"/>
      <c r="D443" s="1"/>
      <c r="F443" s="8"/>
      <c r="G443" s="18"/>
      <c r="H443" s="3"/>
    </row>
    <row r="444" spans="1:8">
      <c r="A444" s="1"/>
      <c r="B444" s="1"/>
      <c r="C444" s="1"/>
      <c r="D444" s="1"/>
      <c r="F444" s="8"/>
      <c r="G444" s="18"/>
      <c r="H444" s="3"/>
    </row>
    <row r="445" spans="1:8">
      <c r="A445" s="1"/>
      <c r="B445" s="1"/>
      <c r="C445" s="1"/>
      <c r="D445" s="1"/>
      <c r="F445" s="8"/>
      <c r="G445" s="18"/>
      <c r="H445" s="3"/>
    </row>
    <row r="446" spans="1:8">
      <c r="A446" s="1"/>
      <c r="B446" s="1"/>
      <c r="C446" s="1"/>
      <c r="D446" s="1"/>
      <c r="F446" s="8"/>
      <c r="G446" s="18"/>
      <c r="H446" s="3"/>
    </row>
    <row r="447" spans="1:8">
      <c r="A447" s="1"/>
      <c r="B447" s="1"/>
      <c r="C447" s="1"/>
      <c r="D447" s="1"/>
      <c r="F447" s="8"/>
      <c r="G447" s="18"/>
      <c r="H447" s="3"/>
    </row>
    <row r="448" spans="1:8">
      <c r="A448" s="1"/>
      <c r="B448" s="1"/>
      <c r="C448" s="1"/>
      <c r="D448" s="1"/>
      <c r="F448" s="8"/>
      <c r="G448" s="18"/>
      <c r="H448" s="3"/>
    </row>
    <row r="449" spans="1:8">
      <c r="A449" s="1"/>
      <c r="B449" s="1"/>
      <c r="C449" s="1"/>
      <c r="D449" s="1"/>
      <c r="F449" s="8"/>
      <c r="G449" s="18"/>
      <c r="H449" s="3"/>
    </row>
    <row r="450" spans="1:8">
      <c r="A450" s="1"/>
      <c r="B450" s="1"/>
      <c r="C450" s="1"/>
      <c r="D450" s="1"/>
      <c r="F450" s="8"/>
      <c r="G450" s="18"/>
      <c r="H450" s="3"/>
    </row>
    <row r="451" spans="1:8">
      <c r="A451" s="1"/>
      <c r="B451" s="1"/>
      <c r="C451" s="1"/>
      <c r="D451" s="1"/>
      <c r="F451" s="8"/>
      <c r="G451" s="18"/>
      <c r="H451" s="3"/>
    </row>
    <row r="452" spans="1:8">
      <c r="A452" s="1"/>
      <c r="B452" s="1"/>
      <c r="C452" s="1"/>
      <c r="D452" s="1"/>
      <c r="F452" s="8"/>
      <c r="G452" s="18"/>
      <c r="H452" s="3"/>
    </row>
    <row r="453" spans="1:8">
      <c r="A453" s="1"/>
      <c r="B453" s="1"/>
      <c r="C453" s="1"/>
      <c r="D453" s="1"/>
      <c r="F453" s="8"/>
      <c r="G453" s="18"/>
      <c r="H453" s="3"/>
    </row>
    <row r="454" spans="1:8">
      <c r="A454" s="1"/>
      <c r="B454" s="1"/>
      <c r="C454" s="1"/>
      <c r="D454" s="1"/>
      <c r="F454" s="8"/>
      <c r="G454" s="18"/>
      <c r="H454" s="3"/>
    </row>
    <row r="455" spans="1:8">
      <c r="A455" s="1"/>
      <c r="B455" s="1"/>
      <c r="C455" s="1"/>
      <c r="D455" s="1"/>
      <c r="F455" s="8"/>
      <c r="G455" s="18"/>
      <c r="H455" s="3"/>
    </row>
    <row r="456" spans="1:8">
      <c r="A456" s="1"/>
      <c r="B456" s="1"/>
      <c r="C456" s="1"/>
      <c r="D456" s="1"/>
      <c r="F456" s="8"/>
      <c r="G456" s="18"/>
      <c r="H456" s="3"/>
    </row>
    <row r="457" spans="1:8">
      <c r="A457" s="1"/>
      <c r="B457" s="1"/>
      <c r="C457" s="1"/>
      <c r="D457" s="1"/>
      <c r="F457" s="8"/>
      <c r="G457" s="18"/>
      <c r="H457" s="3"/>
    </row>
    <row r="458" spans="1:8">
      <c r="A458" s="1"/>
      <c r="B458" s="1"/>
      <c r="C458" s="1"/>
      <c r="D458" s="1"/>
      <c r="F458" s="8"/>
      <c r="G458" s="18"/>
      <c r="H458" s="3"/>
    </row>
    <row r="459" spans="1:8">
      <c r="A459" s="1"/>
      <c r="B459" s="1"/>
      <c r="C459" s="1"/>
      <c r="D459" s="1"/>
      <c r="F459" s="8"/>
      <c r="G459" s="18"/>
      <c r="H459" s="3"/>
    </row>
    <row r="460" spans="1:8">
      <c r="A460" s="1"/>
      <c r="B460" s="1"/>
      <c r="C460" s="1"/>
      <c r="D460" s="1"/>
      <c r="F460" s="8"/>
      <c r="G460" s="18"/>
      <c r="H460" s="3"/>
    </row>
    <row r="461" spans="1:8">
      <c r="A461" s="1"/>
      <c r="B461" s="1"/>
      <c r="C461" s="1"/>
      <c r="D461" s="1"/>
      <c r="F461" s="8"/>
      <c r="G461" s="18"/>
      <c r="H461" s="3"/>
    </row>
    <row r="462" spans="1:8">
      <c r="A462" s="1"/>
      <c r="B462" s="1"/>
      <c r="C462" s="1"/>
      <c r="D462" s="1"/>
      <c r="F462" s="8"/>
      <c r="G462" s="18"/>
      <c r="H462" s="3"/>
    </row>
    <row r="463" spans="1:8">
      <c r="A463" s="1"/>
      <c r="B463" s="1"/>
      <c r="C463" s="1"/>
      <c r="D463" s="1"/>
      <c r="F463" s="8"/>
      <c r="G463" s="18"/>
      <c r="H463" s="3"/>
    </row>
    <row r="464" spans="1:8">
      <c r="A464" s="1"/>
      <c r="B464" s="1"/>
      <c r="C464" s="1"/>
      <c r="D464" s="1"/>
      <c r="F464" s="8"/>
      <c r="G464" s="18"/>
      <c r="H464" s="3"/>
    </row>
    <row r="465" spans="1:8">
      <c r="A465" s="1"/>
      <c r="B465" s="1"/>
      <c r="C465" s="1"/>
      <c r="D465" s="1"/>
      <c r="F465" s="8"/>
      <c r="G465" s="18"/>
      <c r="H465" s="3"/>
    </row>
    <row r="466" spans="1:8">
      <c r="A466" s="1"/>
      <c r="B466" s="1"/>
      <c r="C466" s="1"/>
      <c r="D466" s="1"/>
      <c r="F466" s="8"/>
      <c r="G466" s="18"/>
      <c r="H466" s="3"/>
    </row>
    <row r="467" spans="1:8">
      <c r="A467" s="1"/>
      <c r="B467" s="1"/>
      <c r="C467" s="1"/>
      <c r="D467" s="1"/>
      <c r="F467" s="8"/>
      <c r="G467" s="18"/>
      <c r="H467" s="3"/>
    </row>
    <row r="468" spans="1:8">
      <c r="A468" s="1"/>
      <c r="B468" s="1"/>
      <c r="C468" s="1"/>
      <c r="D468" s="1"/>
      <c r="F468" s="8"/>
      <c r="G468" s="18"/>
      <c r="H468" s="3"/>
    </row>
    <row r="469" spans="1:8">
      <c r="A469" s="1"/>
      <c r="B469" s="1"/>
      <c r="C469" s="1"/>
      <c r="D469" s="1"/>
      <c r="F469" s="8"/>
      <c r="G469" s="18"/>
      <c r="H469" s="3"/>
    </row>
    <row r="470" spans="1:8">
      <c r="A470" s="1"/>
      <c r="B470" s="1"/>
      <c r="C470" s="1"/>
      <c r="D470" s="1"/>
      <c r="F470" s="8"/>
      <c r="G470" s="18"/>
      <c r="H470" s="3"/>
    </row>
    <row r="471" spans="1:8">
      <c r="A471" s="1"/>
      <c r="B471" s="1"/>
      <c r="C471" s="1"/>
      <c r="D471" s="1"/>
      <c r="F471" s="8"/>
      <c r="G471" s="18"/>
      <c r="H471" s="3"/>
    </row>
    <row r="472" spans="1:8">
      <c r="A472" s="1"/>
      <c r="B472" s="1"/>
      <c r="C472" s="1"/>
      <c r="D472" s="1"/>
      <c r="F472" s="8"/>
      <c r="G472" s="18"/>
      <c r="H472" s="3"/>
    </row>
    <row r="473" spans="1:8">
      <c r="A473" s="1"/>
      <c r="B473" s="1"/>
      <c r="C473" s="1"/>
      <c r="D473" s="1"/>
      <c r="F473" s="8"/>
      <c r="G473" s="18"/>
      <c r="H473" s="3"/>
    </row>
    <row r="474" spans="1:8">
      <c r="A474" s="1"/>
      <c r="B474" s="1"/>
      <c r="C474" s="1"/>
      <c r="D474" s="1"/>
      <c r="F474" s="8"/>
      <c r="G474" s="18"/>
      <c r="H474" s="3"/>
    </row>
    <row r="475" spans="1:8">
      <c r="A475" s="1"/>
      <c r="B475" s="1"/>
      <c r="C475" s="1"/>
      <c r="D475" s="1"/>
      <c r="F475" s="8"/>
      <c r="G475" s="18"/>
      <c r="H475" s="3"/>
    </row>
    <row r="476" spans="1:8">
      <c r="A476" s="1"/>
      <c r="B476" s="1"/>
      <c r="C476" s="1"/>
      <c r="D476" s="1"/>
      <c r="F476" s="8"/>
      <c r="G476" s="18"/>
      <c r="H476" s="3"/>
    </row>
    <row r="477" spans="1:8">
      <c r="A477" s="1"/>
      <c r="B477" s="1"/>
      <c r="C477" s="1"/>
      <c r="D477" s="1"/>
      <c r="F477" s="8"/>
      <c r="G477" s="18"/>
      <c r="H477" s="3"/>
    </row>
    <row r="478" spans="1:8">
      <c r="A478" s="1"/>
      <c r="B478" s="1"/>
      <c r="C478" s="1"/>
      <c r="D478" s="1"/>
      <c r="F478" s="8"/>
      <c r="G478" s="18"/>
      <c r="H478" s="3"/>
    </row>
    <row r="479" spans="1:8">
      <c r="A479" s="1"/>
      <c r="B479" s="1"/>
      <c r="C479" s="1"/>
      <c r="D479" s="1"/>
      <c r="F479" s="8"/>
      <c r="G479" s="18"/>
      <c r="H479" s="3"/>
    </row>
    <row r="480" spans="1:8">
      <c r="A480" s="1"/>
      <c r="B480" s="1"/>
      <c r="C480" s="1"/>
      <c r="D480" s="1"/>
      <c r="F480" s="8"/>
      <c r="G480" s="18"/>
      <c r="H480" s="3"/>
    </row>
    <row r="481" spans="1:8">
      <c r="A481" s="1"/>
      <c r="B481" s="1"/>
      <c r="C481" s="1"/>
      <c r="D481" s="1"/>
      <c r="F481" s="8"/>
      <c r="G481" s="18"/>
      <c r="H481" s="3"/>
    </row>
    <row r="482" spans="1:8">
      <c r="A482" s="2"/>
      <c r="B482" s="2"/>
      <c r="C482" s="2"/>
      <c r="D482" s="2"/>
      <c r="F482" s="10"/>
      <c r="G482" s="11"/>
      <c r="H482" s="5"/>
    </row>
    <row r="483" spans="1:8">
      <c r="A483" s="2"/>
      <c r="B483" s="2"/>
      <c r="C483" s="2"/>
      <c r="D483" s="2"/>
      <c r="F483" s="10"/>
      <c r="G483" s="11"/>
      <c r="H483" s="5"/>
    </row>
    <row r="484" spans="1:8">
      <c r="A484" s="2"/>
      <c r="B484" s="2"/>
      <c r="C484" s="2"/>
      <c r="D484" s="2"/>
      <c r="F484" s="10"/>
      <c r="G484" s="11"/>
      <c r="H484" s="5"/>
    </row>
    <row r="485" spans="1:8">
      <c r="A485" s="2"/>
      <c r="B485" s="2"/>
      <c r="C485" s="2"/>
      <c r="D485" s="2"/>
      <c r="F485" s="10"/>
      <c r="G485" s="11"/>
      <c r="H485" s="5"/>
    </row>
    <row r="486" spans="1:8">
      <c r="A486" s="2"/>
      <c r="B486" s="2"/>
      <c r="C486" s="2"/>
      <c r="D486" s="2"/>
      <c r="F486" s="10"/>
      <c r="G486" s="11"/>
      <c r="H486" s="5"/>
    </row>
    <row r="487" spans="1:8">
      <c r="A487" s="2"/>
      <c r="B487" s="2"/>
      <c r="C487" s="2"/>
      <c r="D487" s="2"/>
      <c r="F487" s="10"/>
      <c r="G487" s="11"/>
      <c r="H487" s="5"/>
    </row>
    <row r="488" spans="1:8">
      <c r="A488" s="2"/>
      <c r="B488" s="2"/>
      <c r="C488" s="2"/>
      <c r="D488" s="2"/>
      <c r="F488" s="10"/>
      <c r="G488" s="11"/>
      <c r="H488" s="5"/>
    </row>
    <row r="489" spans="1:8">
      <c r="A489" s="2"/>
      <c r="B489" s="2"/>
      <c r="C489" s="2"/>
      <c r="D489" s="2"/>
      <c r="F489" s="10"/>
      <c r="G489" s="11"/>
      <c r="H489" s="5"/>
    </row>
    <row r="490" spans="1:8">
      <c r="A490" s="2"/>
      <c r="B490" s="2"/>
      <c r="C490" s="2"/>
      <c r="D490" s="2"/>
      <c r="F490" s="10"/>
      <c r="G490" s="11"/>
      <c r="H490" s="5"/>
    </row>
    <row r="491" spans="1:8">
      <c r="A491" s="2"/>
      <c r="B491" s="2"/>
      <c r="C491" s="2"/>
      <c r="D491" s="2"/>
      <c r="F491" s="10"/>
      <c r="G491" s="11"/>
      <c r="H491" s="5"/>
    </row>
    <row r="492" spans="1:8">
      <c r="A492" s="2"/>
      <c r="B492" s="2"/>
      <c r="C492" s="2"/>
      <c r="D492" s="2"/>
      <c r="F492" s="10"/>
      <c r="G492" s="11"/>
      <c r="H492" s="5"/>
    </row>
    <row r="493" spans="1:8">
      <c r="A493" s="2"/>
      <c r="B493" s="2"/>
      <c r="C493" s="2"/>
      <c r="D493" s="2"/>
      <c r="F493" s="10"/>
      <c r="G493" s="11"/>
      <c r="H493" s="5"/>
    </row>
    <row r="494" spans="1:8">
      <c r="A494" s="2"/>
      <c r="B494" s="2"/>
      <c r="C494" s="2"/>
      <c r="D494" s="2"/>
      <c r="F494" s="10"/>
      <c r="G494" s="11"/>
      <c r="H494" s="5"/>
    </row>
    <row r="495" spans="1:8">
      <c r="A495" s="2"/>
      <c r="B495" s="2"/>
      <c r="C495" s="2"/>
      <c r="D495" s="2"/>
      <c r="F495" s="10"/>
      <c r="G495" s="11"/>
      <c r="H495" s="5"/>
    </row>
    <row r="496" spans="1:8">
      <c r="A496" s="2"/>
      <c r="B496" s="2"/>
      <c r="C496" s="2"/>
      <c r="D496" s="2"/>
      <c r="F496" s="10"/>
      <c r="G496" s="11"/>
      <c r="H496" s="5"/>
    </row>
    <row r="497" spans="1:8">
      <c r="A497" s="2"/>
      <c r="B497" s="2"/>
      <c r="C497" s="2"/>
      <c r="D497" s="2"/>
      <c r="F497" s="10"/>
      <c r="G497" s="11"/>
      <c r="H497" s="5"/>
    </row>
    <row r="498" spans="1:8">
      <c r="A498" s="2"/>
      <c r="B498" s="2"/>
      <c r="C498" s="2"/>
      <c r="D498" s="2"/>
      <c r="F498" s="10"/>
      <c r="G498" s="11"/>
      <c r="H498" s="5"/>
    </row>
    <row r="499" spans="1:8">
      <c r="A499" s="2"/>
      <c r="B499" s="2"/>
      <c r="C499" s="2"/>
      <c r="D499" s="2"/>
      <c r="F499" s="10"/>
      <c r="G499" s="11"/>
      <c r="H499" s="5"/>
    </row>
    <row r="500" spans="1:8">
      <c r="A500" s="2"/>
      <c r="B500" s="2"/>
      <c r="C500" s="2"/>
      <c r="D500" s="2"/>
      <c r="F500" s="10"/>
      <c r="G500" s="11"/>
      <c r="H500" s="5"/>
    </row>
    <row r="501" spans="1:8">
      <c r="A501" s="2"/>
      <c r="B501" s="2"/>
      <c r="C501" s="2"/>
      <c r="D501" s="2"/>
      <c r="F501" s="10"/>
      <c r="G501" s="11"/>
      <c r="H501" s="5"/>
    </row>
    <row r="502" spans="1:8">
      <c r="A502" s="2"/>
      <c r="B502" s="2"/>
      <c r="C502" s="2"/>
      <c r="D502" s="2"/>
      <c r="F502" s="10"/>
      <c r="G502" s="11"/>
      <c r="H502" s="5"/>
    </row>
    <row r="503" spans="1:8">
      <c r="A503" s="2"/>
      <c r="B503" s="2"/>
      <c r="C503" s="2"/>
      <c r="D503" s="2"/>
      <c r="F503" s="10"/>
      <c r="G503" s="11"/>
      <c r="H503" s="5"/>
    </row>
    <row r="504" spans="1:8">
      <c r="A504" s="2"/>
      <c r="B504" s="2"/>
      <c r="C504" s="2"/>
      <c r="D504" s="2"/>
      <c r="F504" s="10"/>
      <c r="G504" s="11"/>
      <c r="H504" s="5"/>
    </row>
    <row r="505" spans="1:8">
      <c r="A505" s="2"/>
      <c r="B505" s="2"/>
      <c r="C505" s="2"/>
      <c r="D505" s="2"/>
      <c r="F505" s="10"/>
      <c r="G505" s="11"/>
      <c r="H505" s="5"/>
    </row>
    <row r="506" spans="1:8">
      <c r="A506" s="2"/>
      <c r="B506" s="2"/>
      <c r="C506" s="2"/>
      <c r="D506" s="2"/>
      <c r="F506" s="10"/>
      <c r="G506" s="11"/>
      <c r="H506" s="5"/>
    </row>
    <row r="507" spans="1:8">
      <c r="A507" s="2"/>
      <c r="B507" s="2"/>
      <c r="C507" s="2"/>
      <c r="D507" s="2"/>
      <c r="F507" s="10"/>
      <c r="G507" s="11"/>
      <c r="H507" s="5"/>
    </row>
    <row r="508" spans="1:8">
      <c r="A508" s="2"/>
      <c r="B508" s="2"/>
      <c r="C508" s="2"/>
      <c r="D508" s="2"/>
      <c r="F508" s="10"/>
      <c r="G508" s="11"/>
      <c r="H508" s="5"/>
    </row>
    <row r="509" spans="1:8">
      <c r="A509" s="2"/>
      <c r="B509" s="2"/>
      <c r="C509" s="2"/>
      <c r="D509" s="2"/>
      <c r="F509" s="10"/>
      <c r="G509" s="11"/>
      <c r="H509" s="5"/>
    </row>
    <row r="510" spans="1:8">
      <c r="A510" s="2"/>
      <c r="B510" s="2"/>
      <c r="C510" s="2"/>
      <c r="D510" s="2"/>
      <c r="F510" s="10"/>
      <c r="G510" s="11"/>
      <c r="H510" s="5"/>
    </row>
    <row r="511" spans="1:8">
      <c r="A511" s="2"/>
      <c r="B511" s="2"/>
      <c r="C511" s="2"/>
      <c r="D511" s="2"/>
      <c r="F511" s="10"/>
      <c r="G511" s="11"/>
      <c r="H511" s="5"/>
    </row>
    <row r="512" spans="1:8">
      <c r="A512" s="2"/>
      <c r="B512" s="2"/>
      <c r="C512" s="2"/>
      <c r="D512" s="2"/>
      <c r="F512" s="10"/>
      <c r="G512" s="11"/>
      <c r="H512" s="5"/>
    </row>
    <row r="513" spans="1:8">
      <c r="A513" s="2"/>
      <c r="B513" s="2"/>
      <c r="C513" s="2"/>
      <c r="D513" s="2"/>
      <c r="F513" s="10"/>
      <c r="G513" s="11"/>
      <c r="H513" s="5"/>
    </row>
    <row r="514" spans="1:8">
      <c r="A514" s="2"/>
      <c r="B514" s="2"/>
      <c r="C514" s="2"/>
      <c r="D514" s="2"/>
      <c r="F514" s="10"/>
      <c r="G514" s="11"/>
      <c r="H514" s="5"/>
    </row>
    <row r="515" spans="1:8">
      <c r="A515" s="2"/>
      <c r="B515" s="2"/>
      <c r="C515" s="2"/>
      <c r="D515" s="2"/>
      <c r="F515" s="10"/>
      <c r="G515" s="11"/>
      <c r="H515" s="5"/>
    </row>
    <row r="516" spans="1:8">
      <c r="A516" s="2"/>
      <c r="B516" s="2"/>
      <c r="C516" s="2"/>
      <c r="D516" s="2"/>
      <c r="F516" s="10"/>
      <c r="G516" s="11"/>
      <c r="H516" s="5"/>
    </row>
    <row r="517" spans="1:8">
      <c r="A517" s="2"/>
      <c r="B517" s="2"/>
      <c r="C517" s="2"/>
      <c r="D517" s="2"/>
      <c r="F517" s="10"/>
      <c r="G517" s="11"/>
      <c r="H517" s="5"/>
    </row>
    <row r="518" spans="1:8">
      <c r="A518" s="2"/>
      <c r="B518" s="2"/>
      <c r="C518" s="2"/>
      <c r="D518" s="2"/>
      <c r="F518" s="10"/>
      <c r="G518" s="11"/>
      <c r="H518" s="5"/>
    </row>
    <row r="519" spans="1:8">
      <c r="A519" s="2"/>
      <c r="B519" s="2"/>
      <c r="C519" s="2"/>
      <c r="D519" s="2"/>
      <c r="F519" s="10"/>
      <c r="G519" s="11"/>
      <c r="H519" s="5"/>
    </row>
    <row r="520" spans="1:8">
      <c r="A520" s="2"/>
      <c r="B520" s="2"/>
      <c r="C520" s="2"/>
      <c r="D520" s="2"/>
      <c r="F520" s="10"/>
      <c r="G520" s="11"/>
      <c r="H520" s="5"/>
    </row>
    <row r="521" spans="1:8">
      <c r="A521" s="2"/>
      <c r="B521" s="2"/>
      <c r="C521" s="2"/>
      <c r="D521" s="2"/>
      <c r="F521" s="10"/>
      <c r="G521" s="11"/>
      <c r="H521" s="5"/>
    </row>
    <row r="522" spans="1:8">
      <c r="A522" s="2"/>
      <c r="B522" s="2"/>
      <c r="C522" s="2"/>
      <c r="D522" s="2"/>
      <c r="F522" s="10"/>
      <c r="G522" s="11"/>
      <c r="H522" s="5"/>
    </row>
    <row r="523" spans="1:8">
      <c r="A523" s="2"/>
      <c r="B523" s="2"/>
      <c r="C523" s="2"/>
      <c r="D523" s="2"/>
      <c r="F523" s="10"/>
      <c r="G523" s="11"/>
      <c r="H523" s="5"/>
    </row>
    <row r="524" spans="1:8">
      <c r="A524" s="2"/>
      <c r="B524" s="2"/>
      <c r="C524" s="2"/>
      <c r="D524" s="2"/>
      <c r="F524" s="10"/>
      <c r="G524" s="11"/>
      <c r="H524" s="5"/>
    </row>
    <row r="525" spans="1:8">
      <c r="A525" s="2"/>
      <c r="B525" s="2"/>
      <c r="C525" s="2"/>
      <c r="D525" s="2"/>
      <c r="F525" s="10"/>
      <c r="G525" s="11"/>
      <c r="H525" s="5"/>
    </row>
    <row r="526" spans="1:8">
      <c r="A526" s="2"/>
      <c r="B526" s="2"/>
      <c r="C526" s="2"/>
      <c r="D526" s="2"/>
      <c r="F526" s="10"/>
      <c r="G526" s="11"/>
      <c r="H526" s="5"/>
    </row>
    <row r="527" spans="1:8">
      <c r="A527" s="2"/>
      <c r="B527" s="2"/>
      <c r="C527" s="2"/>
      <c r="D527" s="2"/>
      <c r="F527" s="10"/>
      <c r="G527" s="11"/>
      <c r="H527" s="5"/>
    </row>
    <row r="528" spans="1:8">
      <c r="A528" s="2"/>
      <c r="B528" s="2"/>
      <c r="C528" s="2"/>
      <c r="D528" s="2"/>
      <c r="F528" s="10"/>
      <c r="G528" s="11"/>
      <c r="H528" s="5"/>
    </row>
    <row r="529" spans="1:8">
      <c r="A529" s="2"/>
      <c r="B529" s="2"/>
      <c r="C529" s="2"/>
      <c r="D529" s="2"/>
      <c r="F529" s="10"/>
      <c r="G529" s="11"/>
      <c r="H529" s="5"/>
    </row>
    <row r="530" spans="1:8">
      <c r="A530" s="2"/>
      <c r="B530" s="2"/>
      <c r="C530" s="2"/>
      <c r="D530" s="2"/>
      <c r="F530" s="10"/>
      <c r="G530" s="11"/>
      <c r="H530" s="5"/>
    </row>
    <row r="531" spans="1:8">
      <c r="A531" s="2"/>
      <c r="B531" s="2"/>
      <c r="C531" s="2"/>
      <c r="D531" s="2"/>
      <c r="F531" s="10"/>
      <c r="G531" s="11"/>
      <c r="H531" s="5"/>
    </row>
    <row r="532" spans="1:8">
      <c r="A532" s="2"/>
      <c r="B532" s="2"/>
      <c r="C532" s="2"/>
      <c r="D532" s="2"/>
      <c r="F532" s="10"/>
      <c r="G532" s="11"/>
      <c r="H532" s="5"/>
    </row>
    <row r="533" spans="1:8">
      <c r="A533" s="2"/>
      <c r="B533" s="2"/>
      <c r="C533" s="2"/>
      <c r="D533" s="2"/>
      <c r="F533" s="10"/>
      <c r="G533" s="11"/>
      <c r="H533" s="5"/>
    </row>
    <row r="534" spans="1:8">
      <c r="A534" s="2"/>
      <c r="B534" s="2"/>
      <c r="C534" s="2"/>
      <c r="D534" s="2"/>
      <c r="F534" s="10"/>
      <c r="G534" s="11"/>
      <c r="H534" s="5"/>
    </row>
    <row r="535" spans="1:8">
      <c r="A535" s="2"/>
      <c r="B535" s="2"/>
      <c r="C535" s="2"/>
      <c r="D535" s="2"/>
      <c r="F535" s="10"/>
      <c r="G535" s="11"/>
      <c r="H535" s="5"/>
    </row>
    <row r="536" spans="1:8">
      <c r="A536" s="2"/>
      <c r="B536" s="2"/>
      <c r="C536" s="2"/>
      <c r="D536" s="2"/>
      <c r="F536" s="10"/>
      <c r="G536" s="11"/>
      <c r="H536" s="5"/>
    </row>
    <row r="537" spans="1:8">
      <c r="A537" s="2"/>
      <c r="B537" s="2"/>
      <c r="C537" s="2"/>
      <c r="D537" s="2"/>
      <c r="F537" s="10"/>
      <c r="G537" s="11"/>
      <c r="H537" s="5"/>
    </row>
    <row r="538" spans="1:8">
      <c r="A538" s="2"/>
      <c r="B538" s="2"/>
      <c r="C538" s="2"/>
      <c r="D538" s="2"/>
      <c r="F538" s="10"/>
      <c r="G538" s="11"/>
      <c r="H538" s="5"/>
    </row>
    <row r="539" spans="1:8">
      <c r="A539" s="2"/>
      <c r="B539" s="2"/>
      <c r="C539" s="2"/>
      <c r="D539" s="2"/>
      <c r="F539" s="10"/>
      <c r="G539" s="11"/>
      <c r="H539" s="5"/>
    </row>
    <row r="540" spans="1:8">
      <c r="A540" s="2"/>
      <c r="B540" s="2"/>
      <c r="C540" s="2"/>
      <c r="D540" s="2"/>
      <c r="F540" s="10"/>
      <c r="G540" s="11"/>
      <c r="H540" s="5"/>
    </row>
    <row r="541" spans="1:8">
      <c r="A541" s="2"/>
      <c r="B541" s="2"/>
      <c r="C541" s="2"/>
      <c r="D541" s="2"/>
      <c r="F541" s="10"/>
      <c r="G541" s="11"/>
      <c r="H541" s="5"/>
    </row>
    <row r="542" spans="1:8">
      <c r="A542" s="2"/>
      <c r="B542" s="2"/>
      <c r="C542" s="2"/>
      <c r="D542" s="2"/>
      <c r="F542" s="10"/>
      <c r="G542" s="11"/>
      <c r="H542" s="5"/>
    </row>
    <row r="543" spans="1:8">
      <c r="A543" s="2"/>
      <c r="B543" s="2"/>
      <c r="C543" s="2"/>
      <c r="D543" s="2"/>
      <c r="F543" s="10"/>
      <c r="G543" s="11"/>
      <c r="H543" s="5"/>
    </row>
    <row r="544" spans="1:8">
      <c r="A544" s="2"/>
      <c r="B544" s="2"/>
      <c r="C544" s="2"/>
      <c r="D544" s="2"/>
      <c r="F544" s="10"/>
      <c r="G544" s="11"/>
      <c r="H544" s="5"/>
    </row>
    <row r="545" spans="1:8">
      <c r="A545" s="2"/>
      <c r="B545" s="2"/>
      <c r="C545" s="2"/>
      <c r="D545" s="2"/>
      <c r="F545" s="10"/>
      <c r="G545" s="11"/>
      <c r="H545" s="5"/>
    </row>
    <row r="546" spans="1:8">
      <c r="A546" s="2"/>
      <c r="B546" s="2"/>
      <c r="C546" s="2"/>
      <c r="D546" s="2"/>
      <c r="F546" s="10"/>
      <c r="G546" s="11"/>
      <c r="H546" s="5"/>
    </row>
    <row r="547" spans="1:8">
      <c r="A547" s="2"/>
      <c r="B547" s="2"/>
      <c r="C547" s="2"/>
      <c r="D547" s="2"/>
      <c r="F547" s="10"/>
      <c r="G547" s="11"/>
      <c r="H547" s="5"/>
    </row>
    <row r="548" spans="1:8">
      <c r="A548" s="2"/>
      <c r="B548" s="2"/>
      <c r="C548" s="2"/>
      <c r="D548" s="2"/>
      <c r="F548" s="10"/>
      <c r="G548" s="11"/>
      <c r="H548" s="5"/>
    </row>
    <row r="549" spans="1:8">
      <c r="A549" s="2"/>
      <c r="B549" s="2"/>
      <c r="C549" s="2"/>
      <c r="D549" s="2"/>
      <c r="F549" s="10"/>
      <c r="G549" s="11"/>
      <c r="H549" s="5"/>
    </row>
    <row r="550" spans="1:8">
      <c r="A550" s="2"/>
      <c r="B550" s="2"/>
      <c r="C550" s="2"/>
      <c r="D550" s="2"/>
      <c r="F550" s="10"/>
      <c r="G550" s="11"/>
      <c r="H550" s="5"/>
    </row>
    <row r="551" spans="1:8">
      <c r="A551" s="2"/>
      <c r="B551" s="2"/>
      <c r="C551" s="2"/>
      <c r="D551" s="2"/>
      <c r="F551" s="10"/>
      <c r="G551" s="11"/>
      <c r="H551" s="5"/>
    </row>
    <row r="552" spans="1:8">
      <c r="A552" s="2"/>
      <c r="B552" s="2"/>
      <c r="C552" s="2"/>
      <c r="D552" s="2"/>
      <c r="F552" s="10"/>
      <c r="G552" s="11"/>
      <c r="H552" s="5"/>
    </row>
    <row r="553" spans="1:8">
      <c r="A553" s="2"/>
      <c r="B553" s="2"/>
      <c r="C553" s="2"/>
      <c r="D553" s="2"/>
      <c r="F553" s="10"/>
      <c r="G553" s="11"/>
      <c r="H553" s="5"/>
    </row>
    <row r="554" spans="1:8">
      <c r="A554" s="2"/>
      <c r="B554" s="2"/>
      <c r="C554" s="2"/>
      <c r="D554" s="2"/>
      <c r="F554" s="10"/>
      <c r="G554" s="11"/>
      <c r="H554" s="5"/>
    </row>
    <row r="555" spans="1:8">
      <c r="A555" s="2"/>
      <c r="B555" s="2"/>
      <c r="C555" s="2"/>
      <c r="D555" s="2"/>
      <c r="F555" s="10"/>
      <c r="G555" s="11"/>
      <c r="H555" s="5"/>
    </row>
    <row r="556" spans="1:8">
      <c r="A556" s="2"/>
      <c r="B556" s="2"/>
      <c r="C556" s="2"/>
      <c r="D556" s="2"/>
      <c r="F556" s="10"/>
      <c r="G556" s="11"/>
      <c r="H556" s="5"/>
    </row>
    <row r="557" spans="1:8">
      <c r="A557" s="2"/>
      <c r="B557" s="2"/>
      <c r="C557" s="2"/>
      <c r="D557" s="2"/>
      <c r="F557" s="10"/>
      <c r="G557" s="11"/>
      <c r="H557" s="5"/>
    </row>
    <row r="558" spans="1:8">
      <c r="A558" s="2"/>
      <c r="B558" s="2"/>
      <c r="C558" s="2"/>
      <c r="D558" s="2"/>
      <c r="F558" s="10"/>
      <c r="G558" s="11"/>
      <c r="H558" s="5"/>
    </row>
    <row r="559" spans="1:8">
      <c r="A559" s="2"/>
      <c r="B559" s="2"/>
      <c r="C559" s="2"/>
      <c r="D559" s="2"/>
      <c r="F559" s="10"/>
      <c r="G559" s="11"/>
      <c r="H559" s="5"/>
    </row>
    <row r="560" spans="1:8">
      <c r="A560" s="2"/>
      <c r="B560" s="2"/>
      <c r="C560" s="2"/>
      <c r="D560" s="2"/>
      <c r="F560" s="10"/>
      <c r="G560" s="11"/>
      <c r="H560" s="5"/>
    </row>
    <row r="561" spans="1:8">
      <c r="A561" s="2"/>
      <c r="B561" s="2"/>
      <c r="C561" s="2"/>
      <c r="D561" s="2"/>
      <c r="F561" s="10"/>
      <c r="G561" s="11"/>
      <c r="H561" s="5"/>
    </row>
    <row r="562" spans="1:8">
      <c r="A562" s="2"/>
      <c r="B562" s="2"/>
      <c r="C562" s="2"/>
      <c r="D562" s="2"/>
      <c r="F562" s="10"/>
      <c r="G562" s="11"/>
      <c r="H562" s="5"/>
    </row>
    <row r="563" spans="1:8">
      <c r="A563" s="2"/>
      <c r="B563" s="2"/>
      <c r="C563" s="2"/>
      <c r="D563" s="2"/>
      <c r="F563" s="10"/>
      <c r="G563" s="11"/>
      <c r="H563" s="5"/>
    </row>
    <row r="564" spans="1:8">
      <c r="A564" s="2"/>
      <c r="B564" s="2"/>
      <c r="C564" s="2"/>
      <c r="D564" s="2"/>
      <c r="F564" s="10"/>
      <c r="G564" s="11"/>
      <c r="H564" s="5"/>
    </row>
    <row r="565" spans="1:8">
      <c r="A565" s="2"/>
      <c r="B565" s="2"/>
      <c r="C565" s="2"/>
      <c r="D565" s="2"/>
      <c r="F565" s="10"/>
      <c r="G565" s="11"/>
      <c r="H565" s="5"/>
    </row>
    <row r="566" spans="1:8">
      <c r="A566" s="2"/>
      <c r="B566" s="2"/>
      <c r="C566" s="2"/>
      <c r="D566" s="2"/>
      <c r="F566" s="10"/>
      <c r="G566" s="11"/>
      <c r="H566" s="5"/>
    </row>
    <row r="567" spans="1:8">
      <c r="A567" s="2"/>
      <c r="B567" s="2"/>
      <c r="C567" s="2"/>
      <c r="D567" s="2"/>
      <c r="F567" s="10"/>
      <c r="G567" s="11"/>
      <c r="H567" s="5"/>
    </row>
    <row r="568" spans="1:8">
      <c r="A568" s="2"/>
      <c r="B568" s="2"/>
      <c r="C568" s="2"/>
      <c r="D568" s="2"/>
      <c r="F568" s="10"/>
      <c r="G568" s="11"/>
      <c r="H568" s="5"/>
    </row>
    <row r="569" spans="1:8">
      <c r="A569" s="2"/>
      <c r="B569" s="2"/>
      <c r="C569" s="2"/>
      <c r="D569" s="2"/>
      <c r="F569" s="10"/>
      <c r="G569" s="11"/>
      <c r="H569" s="5"/>
    </row>
    <row r="570" spans="1:8">
      <c r="A570" s="2"/>
      <c r="B570" s="2"/>
      <c r="C570" s="2"/>
      <c r="D570" s="2"/>
      <c r="F570" s="10"/>
      <c r="G570" s="11"/>
      <c r="H570" s="5"/>
    </row>
    <row r="571" spans="1:8">
      <c r="A571" s="2"/>
      <c r="B571" s="2"/>
      <c r="C571" s="2"/>
      <c r="D571" s="2"/>
      <c r="F571" s="10"/>
      <c r="G571" s="11"/>
      <c r="H571" s="5"/>
    </row>
    <row r="572" spans="1:8">
      <c r="A572" s="2"/>
      <c r="B572" s="2"/>
      <c r="C572" s="2"/>
      <c r="D572" s="2"/>
      <c r="F572" s="10"/>
      <c r="G572" s="11"/>
      <c r="H572" s="5"/>
    </row>
    <row r="573" spans="1:8">
      <c r="A573" s="2"/>
      <c r="B573" s="2"/>
      <c r="C573" s="2"/>
      <c r="D573" s="2"/>
      <c r="F573" s="10"/>
      <c r="G573" s="11"/>
      <c r="H573" s="5"/>
    </row>
    <row r="574" spans="1:8">
      <c r="A574" s="2"/>
      <c r="B574" s="2"/>
      <c r="C574" s="2"/>
      <c r="D574" s="2"/>
      <c r="F574" s="10"/>
      <c r="G574" s="11"/>
      <c r="H574" s="5"/>
    </row>
    <row r="575" spans="1:8">
      <c r="A575" s="2"/>
      <c r="B575" s="2"/>
      <c r="C575" s="2"/>
      <c r="D575" s="2"/>
      <c r="F575" s="10"/>
      <c r="G575" s="11"/>
      <c r="H575" s="5"/>
    </row>
    <row r="576" spans="1:8">
      <c r="A576" s="2"/>
      <c r="B576" s="2"/>
      <c r="C576" s="2"/>
      <c r="D576" s="2"/>
      <c r="F576" s="10"/>
      <c r="G576" s="11"/>
      <c r="H576" s="5"/>
    </row>
    <row r="577" spans="1:8">
      <c r="A577" s="2"/>
      <c r="B577" s="2"/>
      <c r="C577" s="2"/>
      <c r="D577" s="2"/>
      <c r="F577" s="10"/>
      <c r="G577" s="11"/>
      <c r="H577" s="5"/>
    </row>
    <row r="578" spans="1:8">
      <c r="A578" s="2"/>
      <c r="B578" s="2"/>
      <c r="C578" s="2"/>
      <c r="D578" s="2"/>
      <c r="F578" s="10"/>
      <c r="G578" s="11"/>
      <c r="H578" s="5"/>
    </row>
    <row r="579" spans="1:8">
      <c r="A579" s="2"/>
      <c r="B579" s="2"/>
      <c r="C579" s="2"/>
      <c r="D579" s="2"/>
      <c r="F579" s="10"/>
      <c r="G579" s="11"/>
      <c r="H579" s="5"/>
    </row>
    <row r="580" spans="1:8">
      <c r="A580" s="2"/>
      <c r="B580" s="2"/>
      <c r="C580" s="2"/>
      <c r="D580" s="2"/>
      <c r="F580" s="10"/>
      <c r="G580" s="11"/>
      <c r="H580" s="5"/>
    </row>
    <row r="581" spans="1:8">
      <c r="A581" s="2"/>
      <c r="B581" s="2"/>
      <c r="C581" s="2"/>
      <c r="D581" s="2"/>
      <c r="F581" s="10"/>
      <c r="G581" s="11"/>
      <c r="H581" s="5"/>
    </row>
    <row r="582" spans="1:8">
      <c r="A582" s="2"/>
      <c r="B582" s="2"/>
      <c r="C582" s="2"/>
      <c r="D582" s="2"/>
      <c r="F582" s="10"/>
      <c r="G582" s="11"/>
      <c r="H582" s="5"/>
    </row>
    <row r="583" spans="1:8">
      <c r="A583" s="2"/>
      <c r="B583" s="2"/>
      <c r="C583" s="2"/>
      <c r="D583" s="2"/>
      <c r="F583" s="10"/>
      <c r="G583" s="11"/>
      <c r="H583" s="5"/>
    </row>
    <row r="584" spans="1:8">
      <c r="A584" s="2"/>
      <c r="B584" s="2"/>
      <c r="C584" s="2"/>
      <c r="D584" s="2"/>
      <c r="F584" s="10"/>
      <c r="G584" s="11"/>
      <c r="H584" s="5"/>
    </row>
    <row r="585" spans="1:8">
      <c r="A585" s="2"/>
      <c r="B585" s="2"/>
      <c r="C585" s="2"/>
      <c r="D585" s="2"/>
      <c r="F585" s="10"/>
      <c r="G585" s="11"/>
      <c r="H585" s="5"/>
    </row>
    <row r="586" spans="1:8">
      <c r="A586" s="2"/>
      <c r="B586" s="2"/>
      <c r="C586" s="2"/>
      <c r="D586" s="2"/>
      <c r="F586" s="10"/>
      <c r="G586" s="11"/>
      <c r="H586" s="5"/>
    </row>
    <row r="587" spans="1:8">
      <c r="A587" s="2"/>
      <c r="B587" s="2"/>
      <c r="C587" s="2"/>
      <c r="D587" s="2"/>
      <c r="F587" s="10"/>
      <c r="G587" s="11"/>
      <c r="H587" s="5"/>
    </row>
    <row r="588" spans="1:8">
      <c r="A588" s="2"/>
      <c r="B588" s="2"/>
      <c r="C588" s="2"/>
      <c r="D588" s="2"/>
      <c r="F588" s="10"/>
      <c r="G588" s="11"/>
      <c r="H588" s="5"/>
    </row>
    <row r="589" spans="1:8">
      <c r="A589" s="2"/>
      <c r="B589" s="2"/>
      <c r="C589" s="2"/>
      <c r="D589" s="2"/>
      <c r="F589" s="10"/>
      <c r="G589" s="11"/>
      <c r="H589" s="5"/>
    </row>
    <row r="590" spans="1:8">
      <c r="A590" s="2"/>
      <c r="B590" s="2"/>
      <c r="C590" s="2"/>
      <c r="D590" s="2"/>
      <c r="F590" s="10"/>
      <c r="G590" s="11"/>
      <c r="H590" s="5"/>
    </row>
    <row r="591" spans="1:8">
      <c r="A591" s="2"/>
      <c r="B591" s="2"/>
      <c r="C591" s="2"/>
      <c r="D591" s="2"/>
      <c r="F591" s="10"/>
      <c r="G591" s="11"/>
      <c r="H591" s="5"/>
    </row>
    <row r="592" spans="1:8">
      <c r="A592" s="2"/>
      <c r="B592" s="2"/>
      <c r="C592" s="2"/>
      <c r="D592" s="2"/>
      <c r="F592" s="10"/>
      <c r="G592" s="11"/>
      <c r="H592" s="5"/>
    </row>
    <row r="593" spans="1:8">
      <c r="A593" s="2"/>
      <c r="B593" s="2"/>
      <c r="C593" s="2"/>
      <c r="D593" s="2"/>
      <c r="F593" s="10"/>
      <c r="G593" s="11"/>
      <c r="H593" s="5"/>
    </row>
    <row r="594" spans="1:8">
      <c r="A594" s="2"/>
      <c r="B594" s="2"/>
      <c r="C594" s="2"/>
      <c r="D594" s="2"/>
      <c r="F594" s="10"/>
      <c r="G594" s="11"/>
      <c r="H594" s="5"/>
    </row>
    <row r="595" spans="1:8">
      <c r="A595" s="2"/>
      <c r="B595" s="2"/>
      <c r="C595" s="2"/>
      <c r="D595" s="2"/>
      <c r="F595" s="10"/>
      <c r="G595" s="11"/>
      <c r="H595" s="5"/>
    </row>
    <row r="596" spans="1:8">
      <c r="A596" s="2"/>
      <c r="B596" s="2"/>
      <c r="C596" s="2"/>
      <c r="D596" s="2"/>
      <c r="F596" s="10"/>
      <c r="G596" s="11"/>
      <c r="H596" s="5"/>
    </row>
    <row r="597" spans="1:8">
      <c r="A597" s="2"/>
      <c r="B597" s="2"/>
      <c r="C597" s="2"/>
      <c r="D597" s="2"/>
      <c r="F597" s="10"/>
      <c r="G597" s="11"/>
      <c r="H597" s="5"/>
    </row>
    <row r="598" spans="1:8">
      <c r="A598" s="2"/>
      <c r="B598" s="2"/>
      <c r="C598" s="2"/>
      <c r="D598" s="2"/>
      <c r="F598" s="10"/>
      <c r="G598" s="11"/>
      <c r="H598" s="5"/>
    </row>
    <row r="599" spans="1:8">
      <c r="A599" s="2"/>
      <c r="B599" s="2"/>
      <c r="C599" s="2"/>
      <c r="D599" s="2"/>
      <c r="F599" s="10"/>
      <c r="G599" s="11"/>
      <c r="H599" s="5"/>
    </row>
    <row r="600" spans="1:8">
      <c r="A600" s="2"/>
      <c r="B600" s="2"/>
      <c r="C600" s="2"/>
      <c r="D600" s="2"/>
      <c r="F600" s="10"/>
      <c r="G600" s="11"/>
      <c r="H600" s="5"/>
    </row>
    <row r="601" spans="1:8">
      <c r="A601" s="2"/>
      <c r="B601" s="2"/>
      <c r="C601" s="2"/>
      <c r="D601" s="2"/>
      <c r="F601" s="10"/>
      <c r="G601" s="11"/>
      <c r="H601" s="5"/>
    </row>
    <row r="602" spans="1:8">
      <c r="A602" s="2"/>
      <c r="B602" s="2"/>
      <c r="C602" s="2"/>
      <c r="D602" s="2"/>
      <c r="F602" s="10"/>
      <c r="G602" s="11"/>
      <c r="H602" s="5"/>
    </row>
    <row r="603" spans="1:8">
      <c r="A603" s="2"/>
      <c r="B603" s="2"/>
      <c r="C603" s="2"/>
      <c r="D603" s="2"/>
      <c r="F603" s="10"/>
      <c r="G603" s="11"/>
      <c r="H603" s="5"/>
    </row>
    <row r="604" spans="1:8">
      <c r="A604" s="2"/>
      <c r="B604" s="2"/>
      <c r="C604" s="2"/>
      <c r="D604" s="2"/>
      <c r="F604" s="10"/>
      <c r="G604" s="11"/>
      <c r="H604" s="5"/>
    </row>
    <row r="605" spans="1:8">
      <c r="A605" s="2"/>
      <c r="B605" s="2"/>
      <c r="C605" s="2"/>
      <c r="D605" s="2"/>
      <c r="F605" s="10"/>
      <c r="G605" s="11"/>
      <c r="H605" s="5"/>
    </row>
    <row r="606" spans="1:8">
      <c r="A606" s="2"/>
      <c r="B606" s="2"/>
      <c r="C606" s="2"/>
      <c r="D606" s="2"/>
      <c r="F606" s="10"/>
      <c r="G606" s="11"/>
      <c r="H606" s="5"/>
    </row>
    <row r="607" spans="1:8">
      <c r="A607" s="1"/>
      <c r="B607" s="1"/>
      <c r="C607" s="1"/>
      <c r="D607" s="1"/>
      <c r="F607" s="13"/>
      <c r="G607" s="9"/>
      <c r="H607" s="3"/>
    </row>
    <row r="608" spans="1:8">
      <c r="A608" s="1"/>
      <c r="B608" s="1"/>
      <c r="C608" s="1"/>
      <c r="D608" s="1"/>
      <c r="F608" s="13"/>
      <c r="G608" s="9"/>
      <c r="H608" s="3"/>
    </row>
    <row r="609" spans="1:8">
      <c r="A609" s="1"/>
      <c r="B609" s="1"/>
      <c r="C609" s="1"/>
      <c r="D609" s="1"/>
      <c r="F609" s="13"/>
      <c r="G609" s="9"/>
      <c r="H609" s="3"/>
    </row>
    <row r="610" spans="1:8">
      <c r="A610" s="1"/>
      <c r="B610" s="1"/>
      <c r="C610" s="1"/>
      <c r="D610" s="1"/>
      <c r="F610" s="13"/>
      <c r="G610" s="9"/>
      <c r="H610" s="3"/>
    </row>
    <row r="611" spans="1:8">
      <c r="A611" s="1"/>
      <c r="B611" s="1"/>
      <c r="C611" s="1"/>
      <c r="D611" s="1"/>
      <c r="F611" s="13"/>
      <c r="G611" s="9"/>
      <c r="H611" s="3"/>
    </row>
    <row r="612" spans="1:8">
      <c r="A612" s="1"/>
      <c r="B612" s="1"/>
      <c r="C612" s="1"/>
      <c r="D612" s="1"/>
      <c r="F612" s="13"/>
      <c r="G612" s="9"/>
      <c r="H612" s="3"/>
    </row>
    <row r="613" spans="1:8">
      <c r="A613" s="1"/>
      <c r="B613" s="1"/>
      <c r="C613" s="1"/>
      <c r="D613" s="1"/>
      <c r="F613" s="13"/>
      <c r="G613" s="9"/>
      <c r="H613" s="3"/>
    </row>
    <row r="614" spans="1:8">
      <c r="A614" s="1"/>
      <c r="B614" s="1"/>
      <c r="C614" s="1"/>
      <c r="D614" s="1"/>
      <c r="F614" s="13"/>
      <c r="G614" s="9"/>
      <c r="H614" s="3"/>
    </row>
    <row r="615" spans="1:8">
      <c r="A615" s="1"/>
      <c r="B615" s="1"/>
      <c r="C615" s="1"/>
      <c r="D615" s="1"/>
      <c r="F615" s="13"/>
      <c r="G615" s="9"/>
      <c r="H615" s="3"/>
    </row>
    <row r="616" spans="1:8">
      <c r="A616" s="1"/>
      <c r="B616" s="1"/>
      <c r="C616" s="1"/>
      <c r="D616" s="1"/>
      <c r="F616" s="13"/>
      <c r="G616" s="9"/>
      <c r="H616" s="3"/>
    </row>
    <row r="617" spans="1:8">
      <c r="A617" s="1"/>
      <c r="B617" s="1"/>
      <c r="C617" s="1"/>
      <c r="D617" s="1"/>
      <c r="F617" s="13"/>
      <c r="G617" s="9"/>
      <c r="H617" s="3"/>
    </row>
    <row r="618" spans="1:8">
      <c r="A618" s="1"/>
      <c r="B618" s="1"/>
      <c r="C618" s="1"/>
      <c r="D618" s="1"/>
      <c r="F618" s="13"/>
      <c r="G618" s="9"/>
      <c r="H618" s="3"/>
    </row>
    <row r="619" spans="1:8">
      <c r="A619" s="1"/>
      <c r="B619" s="1"/>
      <c r="C619" s="1"/>
      <c r="D619" s="1"/>
      <c r="F619" s="13"/>
      <c r="G619" s="9"/>
      <c r="H619" s="3"/>
    </row>
    <row r="620" spans="1:8">
      <c r="A620" s="1"/>
      <c r="B620" s="1"/>
      <c r="C620" s="1"/>
      <c r="D620" s="1"/>
      <c r="F620" s="13"/>
      <c r="G620" s="9"/>
      <c r="H620" s="3"/>
    </row>
    <row r="621" spans="1:8">
      <c r="A621" s="1"/>
      <c r="B621" s="1"/>
      <c r="C621" s="1"/>
      <c r="D621" s="1"/>
      <c r="F621" s="13"/>
      <c r="G621" s="9"/>
      <c r="H621" s="3"/>
    </row>
    <row r="622" spans="1:8">
      <c r="A622" s="1"/>
      <c r="B622" s="1"/>
      <c r="C622" s="1"/>
      <c r="D622" s="1"/>
      <c r="F622" s="13"/>
      <c r="G622" s="9"/>
      <c r="H622" s="3"/>
    </row>
    <row r="623" spans="1:8">
      <c r="A623" s="1"/>
      <c r="B623" s="1"/>
      <c r="C623" s="1"/>
      <c r="D623" s="1"/>
      <c r="F623" s="13"/>
      <c r="G623" s="9"/>
      <c r="H623" s="3"/>
    </row>
    <row r="624" spans="1:8">
      <c r="A624" s="1"/>
      <c r="B624" s="1"/>
      <c r="C624" s="1"/>
      <c r="D624" s="1"/>
      <c r="F624" s="13"/>
      <c r="G624" s="9"/>
      <c r="H624" s="3"/>
    </row>
    <row r="625" spans="1:8">
      <c r="A625" s="1"/>
      <c r="B625" s="1"/>
      <c r="C625" s="1"/>
      <c r="D625" s="1"/>
      <c r="F625" s="13"/>
      <c r="G625" s="9"/>
      <c r="H625" s="3"/>
    </row>
    <row r="626" spans="1:8">
      <c r="A626" s="1"/>
      <c r="B626" s="1"/>
      <c r="C626" s="1"/>
      <c r="D626" s="1"/>
      <c r="F626" s="13"/>
      <c r="G626" s="9"/>
      <c r="H626" s="3"/>
    </row>
    <row r="627" spans="1:8">
      <c r="A627" s="1"/>
      <c r="B627" s="1"/>
      <c r="C627" s="1"/>
      <c r="D627" s="1"/>
      <c r="F627" s="13"/>
      <c r="G627" s="9"/>
      <c r="H627" s="3"/>
    </row>
    <row r="628" spans="1:8">
      <c r="A628" s="1"/>
      <c r="B628" s="1"/>
      <c r="C628" s="1"/>
      <c r="D628" s="1"/>
      <c r="F628" s="13"/>
      <c r="G628" s="9"/>
      <c r="H628" s="3"/>
    </row>
    <row r="629" spans="1:8">
      <c r="A629" s="1"/>
      <c r="B629" s="1"/>
      <c r="C629" s="1"/>
      <c r="D629" s="1"/>
      <c r="F629" s="13"/>
      <c r="G629" s="9"/>
      <c r="H629" s="3"/>
    </row>
    <row r="630" spans="1:8">
      <c r="A630" s="1"/>
      <c r="B630" s="1"/>
      <c r="C630" s="1"/>
      <c r="D630" s="1"/>
      <c r="F630" s="13"/>
      <c r="G630" s="9"/>
      <c r="H630" s="3"/>
    </row>
    <row r="631" spans="1:8">
      <c r="A631" s="1"/>
      <c r="B631" s="1"/>
      <c r="C631" s="1"/>
      <c r="D631" s="1"/>
      <c r="F631" s="13"/>
      <c r="G631" s="9"/>
      <c r="H631" s="3"/>
    </row>
    <row r="632" spans="1:8">
      <c r="A632" s="1"/>
      <c r="B632" s="1"/>
      <c r="C632" s="1"/>
      <c r="D632" s="1"/>
      <c r="F632" s="13"/>
      <c r="G632" s="9"/>
      <c r="H632" s="3"/>
    </row>
    <row r="633" spans="1:8">
      <c r="A633" s="1"/>
      <c r="B633" s="1"/>
      <c r="C633" s="1"/>
      <c r="D633" s="1"/>
      <c r="F633" s="13"/>
      <c r="G633" s="9"/>
      <c r="H633" s="3"/>
    </row>
    <row r="634" spans="1:8">
      <c r="A634" s="1"/>
      <c r="B634" s="1"/>
      <c r="C634" s="1"/>
      <c r="D634" s="1"/>
      <c r="F634" s="13"/>
      <c r="G634" s="9"/>
      <c r="H634" s="3"/>
    </row>
    <row r="635" spans="1:8">
      <c r="A635" s="1"/>
      <c r="B635" s="1"/>
      <c r="C635" s="1"/>
      <c r="D635" s="1"/>
      <c r="F635" s="13"/>
      <c r="G635" s="9"/>
      <c r="H635" s="3"/>
    </row>
    <row r="636" spans="1:8">
      <c r="A636" s="1"/>
      <c r="B636" s="1"/>
      <c r="C636" s="1"/>
      <c r="D636" s="1"/>
      <c r="F636" s="13"/>
      <c r="G636" s="9"/>
      <c r="H636" s="3"/>
    </row>
    <row r="637" spans="1:8">
      <c r="A637" s="1"/>
      <c r="B637" s="1"/>
      <c r="C637" s="1"/>
      <c r="D637" s="1"/>
      <c r="F637" s="13"/>
      <c r="G637" s="9"/>
      <c r="H637" s="3"/>
    </row>
    <row r="638" spans="1:8">
      <c r="A638" s="1"/>
      <c r="B638" s="1"/>
      <c r="C638" s="1"/>
      <c r="D638" s="1"/>
      <c r="F638" s="13"/>
      <c r="G638" s="9"/>
      <c r="H638" s="3"/>
    </row>
    <row r="639" spans="1:8">
      <c r="A639" s="1"/>
      <c r="B639" s="1"/>
      <c r="C639" s="1"/>
      <c r="D639" s="1"/>
      <c r="F639" s="13"/>
      <c r="G639" s="9"/>
      <c r="H639" s="3"/>
    </row>
    <row r="640" spans="1:8">
      <c r="A640" s="1"/>
      <c r="B640" s="1"/>
      <c r="C640" s="1"/>
      <c r="D640" s="1"/>
      <c r="F640" s="13"/>
      <c r="G640" s="9"/>
      <c r="H640" s="3"/>
    </row>
    <row r="641" spans="1:8">
      <c r="A641" s="1"/>
      <c r="B641" s="1"/>
      <c r="C641" s="1"/>
      <c r="D641" s="1"/>
      <c r="F641" s="13"/>
      <c r="G641" s="9"/>
      <c r="H641" s="3"/>
    </row>
    <row r="642" spans="1:8">
      <c r="A642" s="1"/>
      <c r="B642" s="1"/>
      <c r="C642" s="1"/>
      <c r="D642" s="1"/>
      <c r="F642" s="13"/>
      <c r="G642" s="9"/>
      <c r="H642" s="3"/>
    </row>
    <row r="643" spans="1:8">
      <c r="A643" s="1"/>
      <c r="B643" s="1"/>
      <c r="C643" s="1"/>
      <c r="D643" s="1"/>
      <c r="F643" s="13"/>
      <c r="G643" s="9"/>
      <c r="H643" s="3"/>
    </row>
    <row r="644" spans="1:8">
      <c r="A644" s="1"/>
      <c r="B644" s="1"/>
      <c r="C644" s="1"/>
      <c r="D644" s="1"/>
      <c r="F644" s="13"/>
      <c r="G644" s="9"/>
      <c r="H644" s="3"/>
    </row>
    <row r="645" spans="1:8">
      <c r="A645" s="1"/>
      <c r="B645" s="1"/>
      <c r="C645" s="1"/>
      <c r="D645" s="1"/>
      <c r="F645" s="13"/>
      <c r="G645" s="9"/>
      <c r="H645" s="3"/>
    </row>
    <row r="646" spans="1:8">
      <c r="A646" s="1"/>
      <c r="B646" s="1"/>
      <c r="C646" s="1"/>
      <c r="D646" s="1"/>
      <c r="F646" s="13"/>
      <c r="G646" s="9"/>
      <c r="H646" s="3"/>
    </row>
    <row r="647" spans="1:8">
      <c r="A647" s="1"/>
      <c r="B647" s="1"/>
      <c r="C647" s="1"/>
      <c r="D647" s="1"/>
      <c r="F647" s="13"/>
      <c r="G647" s="9"/>
      <c r="H647" s="3"/>
    </row>
    <row r="648" spans="1:8">
      <c r="A648" s="1"/>
      <c r="B648" s="1"/>
      <c r="C648" s="1"/>
      <c r="D648" s="1"/>
      <c r="F648" s="13"/>
      <c r="G648" s="9"/>
      <c r="H648" s="3"/>
    </row>
    <row r="649" spans="1:8">
      <c r="A649" s="1"/>
      <c r="B649" s="1"/>
      <c r="C649" s="1"/>
      <c r="D649" s="1"/>
      <c r="F649" s="13"/>
      <c r="G649" s="9"/>
      <c r="H649" s="3"/>
    </row>
    <row r="650" spans="1:8">
      <c r="A650" s="1"/>
      <c r="B650" s="1"/>
      <c r="C650" s="1"/>
      <c r="D650" s="1"/>
      <c r="F650" s="13"/>
      <c r="G650" s="9"/>
      <c r="H650" s="3"/>
    </row>
    <row r="651" spans="1:8">
      <c r="A651" s="1"/>
      <c r="B651" s="1"/>
      <c r="C651" s="1"/>
      <c r="D651" s="1"/>
      <c r="F651" s="13"/>
      <c r="G651" s="9"/>
      <c r="H651" s="3"/>
    </row>
    <row r="652" spans="1:8">
      <c r="A652" s="1"/>
      <c r="B652" s="1"/>
      <c r="C652" s="1"/>
      <c r="D652" s="1"/>
      <c r="F652" s="13"/>
      <c r="G652" s="9"/>
      <c r="H652" s="3"/>
    </row>
    <row r="653" spans="1:8">
      <c r="A653" s="1"/>
      <c r="B653" s="1"/>
      <c r="C653" s="1"/>
      <c r="D653" s="1"/>
      <c r="F653" s="13"/>
      <c r="G653" s="9"/>
      <c r="H653" s="3"/>
    </row>
    <row r="654" spans="1:8">
      <c r="A654" s="1"/>
      <c r="B654" s="1"/>
      <c r="C654" s="1"/>
      <c r="D654" s="1"/>
      <c r="F654" s="13"/>
      <c r="G654" s="9"/>
      <c r="H654" s="3"/>
    </row>
    <row r="655" spans="1:8">
      <c r="A655" s="1"/>
      <c r="B655" s="1"/>
      <c r="C655" s="1"/>
      <c r="D655" s="1"/>
      <c r="F655" s="13"/>
      <c r="G655" s="9"/>
      <c r="H655" s="3"/>
    </row>
    <row r="656" spans="1:8">
      <c r="A656" s="1"/>
      <c r="B656" s="1"/>
      <c r="C656" s="1"/>
      <c r="D656" s="1"/>
      <c r="F656" s="13"/>
      <c r="G656" s="9"/>
      <c r="H656" s="3"/>
    </row>
    <row r="657" spans="1:8">
      <c r="A657" s="1"/>
      <c r="B657" s="1"/>
      <c r="C657" s="1"/>
      <c r="D657" s="1"/>
      <c r="F657" s="13"/>
      <c r="G657" s="9"/>
      <c r="H657" s="3"/>
    </row>
    <row r="658" spans="1:8">
      <c r="A658" s="1"/>
      <c r="B658" s="1"/>
      <c r="C658" s="1"/>
      <c r="D658" s="1"/>
      <c r="F658" s="13"/>
      <c r="G658" s="9"/>
      <c r="H658" s="3"/>
    </row>
    <row r="659" spans="1:8">
      <c r="A659" s="1"/>
      <c r="B659" s="1"/>
      <c r="C659" s="1"/>
      <c r="D659" s="1"/>
      <c r="F659" s="13"/>
      <c r="G659" s="9"/>
      <c r="H659" s="3"/>
    </row>
    <row r="660" spans="1:8">
      <c r="A660" s="1"/>
      <c r="B660" s="1"/>
      <c r="C660" s="1"/>
      <c r="D660" s="1"/>
      <c r="F660" s="13"/>
      <c r="G660" s="9"/>
      <c r="H660" s="3"/>
    </row>
    <row r="661" spans="1:8">
      <c r="A661" s="1"/>
      <c r="B661" s="1"/>
      <c r="C661" s="1"/>
      <c r="D661" s="1"/>
      <c r="F661" s="13"/>
      <c r="G661" s="9"/>
      <c r="H661" s="3"/>
    </row>
    <row r="662" spans="1:8">
      <c r="A662" s="1"/>
      <c r="B662" s="1"/>
      <c r="C662" s="1"/>
      <c r="D662" s="1"/>
      <c r="F662" s="13"/>
      <c r="G662" s="9"/>
      <c r="H662" s="3"/>
    </row>
    <row r="663" spans="1:8">
      <c r="A663" s="1"/>
      <c r="B663" s="1"/>
      <c r="C663" s="1"/>
      <c r="D663" s="1"/>
      <c r="F663" s="13"/>
      <c r="G663" s="9"/>
      <c r="H663" s="3"/>
    </row>
    <row r="664" spans="1:8">
      <c r="A664" s="1"/>
      <c r="B664" s="1"/>
      <c r="C664" s="1"/>
      <c r="D664" s="1"/>
      <c r="F664" s="13"/>
      <c r="G664" s="9"/>
      <c r="H664" s="3"/>
    </row>
    <row r="665" spans="1:8">
      <c r="A665" s="1"/>
      <c r="B665" s="1"/>
      <c r="C665" s="1"/>
      <c r="D665" s="1"/>
      <c r="F665" s="13"/>
      <c r="G665" s="9"/>
      <c r="H665" s="3"/>
    </row>
    <row r="666" spans="1:8">
      <c r="A666" s="1"/>
      <c r="B666" s="1"/>
      <c r="C666" s="1"/>
      <c r="D666" s="1"/>
      <c r="F666" s="13"/>
      <c r="G666" s="9"/>
      <c r="H666" s="3"/>
    </row>
    <row r="667" spans="1:8">
      <c r="A667" s="1"/>
      <c r="B667" s="1"/>
      <c r="C667" s="1"/>
      <c r="D667" s="1"/>
      <c r="F667" s="13"/>
      <c r="G667" s="9"/>
      <c r="H667" s="3"/>
    </row>
    <row r="668" spans="1:8">
      <c r="A668" s="1"/>
      <c r="B668" s="1"/>
      <c r="C668" s="1"/>
      <c r="D668" s="1"/>
      <c r="F668" s="13"/>
      <c r="G668" s="9"/>
      <c r="H668" s="3"/>
    </row>
    <row r="669" spans="1:8">
      <c r="A669" s="1"/>
      <c r="B669" s="1"/>
      <c r="C669" s="1"/>
      <c r="D669" s="1"/>
      <c r="F669" s="13"/>
      <c r="G669" s="9"/>
      <c r="H669" s="3"/>
    </row>
    <row r="670" spans="1:8">
      <c r="A670" s="1"/>
      <c r="B670" s="1"/>
      <c r="C670" s="1"/>
      <c r="D670" s="1"/>
      <c r="F670" s="13"/>
      <c r="G670" s="9"/>
      <c r="H670" s="3"/>
    </row>
    <row r="671" spans="1:8">
      <c r="A671" s="1"/>
      <c r="B671" s="1"/>
      <c r="C671" s="1"/>
      <c r="D671" s="1"/>
      <c r="F671" s="13"/>
      <c r="G671" s="9"/>
      <c r="H671" s="3"/>
    </row>
    <row r="672" spans="1:8">
      <c r="A672" s="1"/>
      <c r="B672" s="1"/>
      <c r="C672" s="1"/>
      <c r="D672" s="1"/>
      <c r="F672" s="13"/>
      <c r="G672" s="9"/>
      <c r="H672" s="3"/>
    </row>
    <row r="673" spans="1:8">
      <c r="A673" s="1"/>
      <c r="B673" s="1"/>
      <c r="C673" s="1"/>
      <c r="D673" s="1"/>
      <c r="F673" s="13"/>
      <c r="G673" s="9"/>
      <c r="H673" s="3"/>
    </row>
    <row r="674" spans="1:8">
      <c r="A674" s="1"/>
      <c r="B674" s="1"/>
      <c r="C674" s="1"/>
      <c r="D674" s="1"/>
      <c r="F674" s="13"/>
      <c r="G674" s="9"/>
      <c r="H674" s="3"/>
    </row>
    <row r="675" spans="1:8">
      <c r="A675" s="1"/>
      <c r="B675" s="1"/>
      <c r="C675" s="1"/>
      <c r="D675" s="1"/>
      <c r="F675" s="13"/>
      <c r="G675" s="9"/>
      <c r="H675" s="3"/>
    </row>
    <row r="676" spans="1:8">
      <c r="A676" s="1"/>
      <c r="B676" s="1"/>
      <c r="C676" s="1"/>
      <c r="D676" s="1"/>
      <c r="F676" s="13"/>
      <c r="G676" s="9"/>
      <c r="H676" s="3"/>
    </row>
    <row r="677" spans="1:8">
      <c r="A677" s="1"/>
      <c r="B677" s="1"/>
      <c r="C677" s="1"/>
      <c r="D677" s="1"/>
      <c r="F677" s="13"/>
      <c r="G677" s="9"/>
      <c r="H677" s="3"/>
    </row>
    <row r="678" spans="1:8">
      <c r="A678" s="1"/>
      <c r="B678" s="1"/>
      <c r="C678" s="1"/>
      <c r="D678" s="1"/>
      <c r="F678" s="13"/>
      <c r="G678" s="9"/>
      <c r="H678" s="3"/>
    </row>
    <row r="679" spans="1:8">
      <c r="A679" s="1"/>
      <c r="B679" s="1"/>
      <c r="C679" s="1"/>
      <c r="D679" s="1"/>
      <c r="F679" s="13"/>
      <c r="G679" s="9"/>
      <c r="H679" s="3"/>
    </row>
    <row r="680" spans="1:8">
      <c r="A680" s="1"/>
      <c r="B680" s="1"/>
      <c r="C680" s="1"/>
      <c r="D680" s="1"/>
      <c r="F680" s="13"/>
      <c r="G680" s="9"/>
      <c r="H680" s="3"/>
    </row>
    <row r="681" spans="1:8">
      <c r="A681" s="1"/>
      <c r="B681" s="1"/>
      <c r="C681" s="1"/>
      <c r="D681" s="1"/>
      <c r="F681" s="13"/>
      <c r="G681" s="9"/>
      <c r="H681" s="3"/>
    </row>
    <row r="682" spans="1:8">
      <c r="A682" s="1"/>
      <c r="B682" s="1"/>
      <c r="C682" s="1"/>
      <c r="D682" s="1"/>
      <c r="F682" s="13"/>
      <c r="G682" s="9"/>
      <c r="H682" s="3"/>
    </row>
    <row r="683" spans="1:8">
      <c r="A683" s="1"/>
      <c r="B683" s="1"/>
      <c r="C683" s="1"/>
      <c r="D683" s="1"/>
      <c r="F683" s="13"/>
      <c r="G683" s="9"/>
      <c r="H683" s="3"/>
    </row>
    <row r="684" spans="1:8">
      <c r="A684" s="1"/>
      <c r="B684" s="1"/>
      <c r="C684" s="1"/>
      <c r="D684" s="1"/>
      <c r="F684" s="13"/>
      <c r="G684" s="9"/>
      <c r="H684" s="3"/>
    </row>
    <row r="685" spans="1:8">
      <c r="A685" s="1"/>
      <c r="B685" s="1"/>
      <c r="C685" s="1"/>
      <c r="D685" s="1"/>
      <c r="F685" s="13"/>
      <c r="G685" s="9"/>
      <c r="H685" s="3"/>
    </row>
    <row r="686" spans="1:8">
      <c r="A686" s="1"/>
      <c r="B686" s="1"/>
      <c r="C686" s="1"/>
      <c r="D686" s="1"/>
      <c r="F686" s="13"/>
      <c r="G686" s="9"/>
      <c r="H686" s="3"/>
    </row>
    <row r="687" spans="1:8">
      <c r="A687" s="1"/>
      <c r="B687" s="1"/>
      <c r="C687" s="1"/>
      <c r="D687" s="1"/>
      <c r="F687" s="13"/>
      <c r="G687" s="9"/>
      <c r="H687" s="3"/>
    </row>
    <row r="688" spans="1:8">
      <c r="A688" s="1"/>
      <c r="B688" s="1"/>
      <c r="C688" s="1"/>
      <c r="D688" s="1"/>
      <c r="F688" s="13"/>
      <c r="G688" s="9"/>
      <c r="H688" s="3"/>
    </row>
    <row r="689" spans="1:8">
      <c r="A689" s="1"/>
      <c r="B689" s="1"/>
      <c r="C689" s="1"/>
      <c r="D689" s="1"/>
      <c r="F689" s="13"/>
      <c r="G689" s="9"/>
      <c r="H689" s="3"/>
    </row>
    <row r="690" spans="1:8">
      <c r="A690" s="1"/>
      <c r="B690" s="1"/>
      <c r="C690" s="1"/>
      <c r="D690" s="1"/>
      <c r="F690" s="13"/>
      <c r="G690" s="9"/>
      <c r="H690" s="3"/>
    </row>
    <row r="691" spans="1:8">
      <c r="A691" s="1"/>
      <c r="B691" s="1"/>
      <c r="C691" s="1"/>
      <c r="D691" s="1"/>
      <c r="F691" s="13"/>
      <c r="G691" s="9"/>
      <c r="H691" s="3"/>
    </row>
    <row r="692" spans="1:8">
      <c r="A692" s="1"/>
      <c r="B692" s="1"/>
      <c r="C692" s="1"/>
      <c r="D692" s="1"/>
      <c r="F692" s="13"/>
      <c r="G692" s="9"/>
      <c r="H692" s="3"/>
    </row>
    <row r="693" spans="1:8">
      <c r="A693" s="1"/>
      <c r="B693" s="1"/>
      <c r="C693" s="1"/>
      <c r="D693" s="1"/>
      <c r="F693" s="13"/>
      <c r="G693" s="9"/>
      <c r="H693" s="3"/>
    </row>
    <row r="694" spans="1:8">
      <c r="A694" s="1"/>
      <c r="B694" s="1"/>
      <c r="C694" s="1"/>
      <c r="D694" s="1"/>
      <c r="F694" s="13"/>
      <c r="G694" s="9"/>
      <c r="H694" s="3"/>
    </row>
    <row r="695" spans="1:8">
      <c r="A695" s="1"/>
      <c r="B695" s="1"/>
      <c r="C695" s="1"/>
      <c r="D695" s="1"/>
      <c r="F695" s="13"/>
      <c r="G695" s="9"/>
      <c r="H695" s="3"/>
    </row>
    <row r="696" spans="1:8">
      <c r="A696" s="1"/>
      <c r="B696" s="1"/>
      <c r="C696" s="1"/>
      <c r="D696" s="1"/>
      <c r="F696" s="13"/>
      <c r="G696" s="9"/>
      <c r="H696" s="3"/>
    </row>
    <row r="697" s="44" customFormat="1" spans="1:8">
      <c r="A697" s="1"/>
      <c r="B697" s="1"/>
      <c r="C697" s="1"/>
      <c r="D697" s="1"/>
      <c r="E697" s="2"/>
      <c r="F697" s="13"/>
      <c r="G697" s="9"/>
      <c r="H697" s="3"/>
    </row>
    <row r="698" s="44" customFormat="1" spans="1:8">
      <c r="A698" s="1"/>
      <c r="B698" s="1"/>
      <c r="C698" s="1"/>
      <c r="D698" s="1"/>
      <c r="E698" s="2"/>
      <c r="F698" s="13"/>
      <c r="G698" s="9"/>
      <c r="H698" s="3"/>
    </row>
    <row r="699" s="44" customFormat="1" spans="1:8">
      <c r="A699" s="1"/>
      <c r="B699" s="1"/>
      <c r="C699" s="1"/>
      <c r="D699" s="1"/>
      <c r="E699" s="2"/>
      <c r="F699" s="13"/>
      <c r="G699" s="9"/>
      <c r="H699" s="3"/>
    </row>
    <row r="700" s="44" customFormat="1" spans="1:8">
      <c r="A700" s="1"/>
      <c r="B700" s="1"/>
      <c r="C700" s="1"/>
      <c r="D700" s="1"/>
      <c r="E700" s="2"/>
      <c r="F700" s="13"/>
      <c r="G700" s="9"/>
      <c r="H700" s="3"/>
    </row>
    <row r="701" ht="12" customHeight="1" spans="1:8">
      <c r="A701" s="1"/>
      <c r="B701" s="1"/>
      <c r="C701" s="1"/>
      <c r="D701" s="1"/>
      <c r="F701" s="13"/>
      <c r="G701" s="9"/>
      <c r="H701" s="3"/>
    </row>
    <row r="702" spans="1:8">
      <c r="A702" s="31"/>
      <c r="B702" s="31"/>
      <c r="C702" s="31"/>
      <c r="D702" s="31"/>
      <c r="E702" s="31"/>
      <c r="F702" s="31"/>
      <c r="G702" s="31"/>
      <c r="H702" s="31"/>
    </row>
    <row r="703" spans="1:8">
      <c r="A703" s="31"/>
      <c r="B703" s="31"/>
      <c r="C703" s="31"/>
      <c r="D703" s="31"/>
      <c r="E703" s="31"/>
      <c r="F703" s="31"/>
      <c r="G703" s="31"/>
      <c r="H703" s="31"/>
    </row>
    <row r="704" spans="1:8">
      <c r="A704" s="31"/>
      <c r="B704" s="31"/>
      <c r="C704" s="31"/>
      <c r="D704" s="31"/>
      <c r="E704" s="31"/>
      <c r="F704" s="31"/>
      <c r="G704" s="31"/>
      <c r="H704" s="31"/>
    </row>
    <row r="705" spans="1:8">
      <c r="A705" s="31"/>
      <c r="B705" s="31"/>
      <c r="C705" s="31"/>
      <c r="D705" s="31"/>
      <c r="E705" s="31"/>
      <c r="F705" s="31"/>
      <c r="G705" s="31"/>
      <c r="H705" s="31"/>
    </row>
    <row r="706" spans="1:8">
      <c r="A706" s="31"/>
      <c r="B706" s="31"/>
      <c r="C706" s="31"/>
      <c r="D706" s="31"/>
      <c r="E706" s="31"/>
      <c r="F706" s="31"/>
      <c r="G706" s="31"/>
      <c r="H706" s="31"/>
    </row>
    <row r="707" spans="1:8">
      <c r="A707" s="31"/>
      <c r="B707" s="31"/>
      <c r="C707" s="31"/>
      <c r="D707" s="31"/>
      <c r="E707" s="31"/>
      <c r="F707" s="31"/>
      <c r="G707" s="31"/>
      <c r="H707" s="31"/>
    </row>
    <row r="708" spans="1:8">
      <c r="A708" s="31"/>
      <c r="B708" s="31"/>
      <c r="C708" s="31"/>
      <c r="D708" s="31"/>
      <c r="E708" s="31"/>
      <c r="F708" s="31"/>
      <c r="G708" s="31"/>
      <c r="H708" s="31"/>
    </row>
    <row r="709" spans="1:8">
      <c r="A709" s="31"/>
      <c r="B709" s="31"/>
      <c r="C709" s="31"/>
      <c r="D709" s="31"/>
      <c r="E709" s="31"/>
      <c r="F709" s="31"/>
      <c r="G709" s="31"/>
      <c r="H709" s="31"/>
    </row>
    <row r="710" spans="1:8">
      <c r="A710" s="31"/>
      <c r="B710" s="31"/>
      <c r="C710" s="31"/>
      <c r="D710" s="31"/>
      <c r="E710" s="31"/>
      <c r="F710" s="31"/>
      <c r="G710" s="31"/>
      <c r="H710" s="31"/>
    </row>
    <row r="711" spans="1:8">
      <c r="A711" s="31"/>
      <c r="B711" s="31"/>
      <c r="C711" s="31"/>
      <c r="D711" s="31"/>
      <c r="E711" s="31"/>
      <c r="F711" s="31"/>
      <c r="G711" s="31"/>
      <c r="H711" s="31"/>
    </row>
    <row r="712" spans="1:8">
      <c r="A712" s="31"/>
      <c r="B712" s="31"/>
      <c r="C712" s="31"/>
      <c r="D712" s="31"/>
      <c r="E712" s="31"/>
      <c r="F712" s="31"/>
      <c r="G712" s="31"/>
      <c r="H712" s="31"/>
    </row>
    <row r="713" spans="1:8">
      <c r="A713" s="31"/>
      <c r="B713" s="31"/>
      <c r="C713" s="31"/>
      <c r="D713" s="31"/>
      <c r="E713" s="31"/>
      <c r="F713" s="31"/>
      <c r="G713" s="31"/>
      <c r="H713" s="31"/>
    </row>
    <row r="714" spans="1:8">
      <c r="A714" s="31"/>
      <c r="B714" s="31"/>
      <c r="C714" s="31"/>
      <c r="D714" s="31"/>
      <c r="E714" s="31"/>
      <c r="F714" s="31"/>
      <c r="G714" s="31"/>
      <c r="H714" s="31"/>
    </row>
    <row r="715" spans="1:8">
      <c r="A715" s="31"/>
      <c r="B715" s="31"/>
      <c r="C715" s="31"/>
      <c r="D715" s="31"/>
      <c r="E715" s="31"/>
      <c r="F715" s="31"/>
      <c r="G715" s="31"/>
      <c r="H715" s="31"/>
    </row>
    <row r="716" spans="1:8">
      <c r="A716" s="31"/>
      <c r="B716" s="31"/>
      <c r="C716" s="31"/>
      <c r="D716" s="31"/>
      <c r="E716" s="31"/>
      <c r="F716" s="31"/>
      <c r="G716" s="31"/>
      <c r="H716" s="31"/>
    </row>
    <row r="717" spans="1:8">
      <c r="A717" s="31"/>
      <c r="B717" s="31"/>
      <c r="C717" s="31"/>
      <c r="D717" s="31"/>
      <c r="E717" s="31"/>
      <c r="F717" s="31"/>
      <c r="G717" s="31"/>
      <c r="H717" s="31"/>
    </row>
    <row r="718" spans="1:8">
      <c r="A718" s="31"/>
      <c r="B718" s="31"/>
      <c r="C718" s="31"/>
      <c r="D718" s="31"/>
      <c r="E718" s="31"/>
      <c r="F718" s="31"/>
      <c r="G718" s="31"/>
      <c r="H718" s="31"/>
    </row>
    <row r="719" spans="1:8">
      <c r="A719" s="31"/>
      <c r="B719" s="31"/>
      <c r="C719" s="31"/>
      <c r="D719" s="31"/>
      <c r="E719" s="31"/>
      <c r="F719" s="31"/>
      <c r="G719" s="31"/>
      <c r="H719" s="31"/>
    </row>
    <row r="720" spans="1:8">
      <c r="A720" s="31"/>
      <c r="B720" s="31"/>
      <c r="C720" s="31"/>
      <c r="D720" s="31"/>
      <c r="E720" s="31"/>
      <c r="F720" s="31"/>
      <c r="G720" s="31"/>
      <c r="H720" s="31"/>
    </row>
    <row r="721" spans="1:8">
      <c r="A721" s="31"/>
      <c r="B721" s="31"/>
      <c r="C721" s="31"/>
      <c r="D721" s="31"/>
      <c r="E721" s="31"/>
      <c r="F721" s="31"/>
      <c r="G721" s="31"/>
      <c r="H721" s="31"/>
    </row>
    <row r="722" spans="1:8">
      <c r="A722" s="31"/>
      <c r="B722" s="31"/>
      <c r="C722" s="31"/>
      <c r="D722" s="31"/>
      <c r="E722" s="31"/>
      <c r="F722" s="31"/>
      <c r="G722" s="31"/>
      <c r="H722" s="31"/>
    </row>
    <row r="723" spans="1:8">
      <c r="A723" s="31"/>
      <c r="B723" s="31"/>
      <c r="C723" s="31"/>
      <c r="D723" s="31"/>
      <c r="E723" s="31"/>
      <c r="F723" s="31"/>
      <c r="G723" s="31"/>
      <c r="H723" s="31"/>
    </row>
    <row r="724" spans="1:8">
      <c r="A724" s="31"/>
      <c r="B724" s="31"/>
      <c r="C724" s="31"/>
      <c r="D724" s="31"/>
      <c r="E724" s="31"/>
      <c r="F724" s="31"/>
      <c r="G724" s="31"/>
      <c r="H724" s="31"/>
    </row>
    <row r="725" spans="1:8">
      <c r="A725" s="31"/>
      <c r="B725" s="31"/>
      <c r="C725" s="31"/>
      <c r="D725" s="31"/>
      <c r="E725" s="31"/>
      <c r="F725" s="31"/>
      <c r="G725" s="31"/>
      <c r="H725" s="31"/>
    </row>
    <row r="726" spans="1:8">
      <c r="A726" s="31"/>
      <c r="B726" s="31"/>
      <c r="C726" s="31"/>
      <c r="D726" s="31"/>
      <c r="E726" s="31"/>
      <c r="F726" s="31"/>
      <c r="G726" s="31"/>
      <c r="H726" s="31"/>
    </row>
    <row r="727" spans="1:8">
      <c r="A727" s="31"/>
      <c r="B727" s="31"/>
      <c r="C727" s="31"/>
      <c r="D727" s="31"/>
      <c r="E727" s="31"/>
      <c r="F727" s="31"/>
      <c r="G727" s="31"/>
      <c r="H727" s="31"/>
    </row>
    <row r="728" spans="1:8">
      <c r="A728" s="31"/>
      <c r="B728" s="31"/>
      <c r="C728" s="31"/>
      <c r="D728" s="31"/>
      <c r="E728" s="31"/>
      <c r="F728" s="31"/>
      <c r="G728" s="31"/>
      <c r="H728" s="31"/>
    </row>
    <row r="729" spans="1:8">
      <c r="A729" s="31"/>
      <c r="B729" s="31"/>
      <c r="C729" s="31"/>
      <c r="D729" s="31"/>
      <c r="E729" s="31"/>
      <c r="F729" s="31"/>
      <c r="G729" s="31"/>
      <c r="H729" s="31"/>
    </row>
    <row r="730" spans="1:8">
      <c r="A730" s="31"/>
      <c r="B730" s="31"/>
      <c r="C730" s="31"/>
      <c r="D730" s="31"/>
      <c r="E730" s="31"/>
      <c r="F730" s="31"/>
      <c r="G730" s="31"/>
      <c r="H730" s="31"/>
    </row>
    <row r="731" spans="1:8">
      <c r="A731" s="31"/>
      <c r="B731" s="31"/>
      <c r="C731" s="31"/>
      <c r="D731" s="31"/>
      <c r="E731" s="31"/>
      <c r="F731" s="31"/>
      <c r="G731" s="31"/>
      <c r="H731" s="31"/>
    </row>
    <row r="732" spans="1:8">
      <c r="A732" s="31"/>
      <c r="B732" s="31"/>
      <c r="C732" s="31"/>
      <c r="D732" s="31"/>
      <c r="E732" s="31"/>
      <c r="F732" s="31"/>
      <c r="G732" s="31"/>
      <c r="H732" s="31"/>
    </row>
    <row r="733" spans="1:8">
      <c r="A733" s="31"/>
      <c r="B733" s="31"/>
      <c r="C733" s="31"/>
      <c r="D733" s="31"/>
      <c r="E733" s="31"/>
      <c r="F733" s="31"/>
      <c r="G733" s="31"/>
      <c r="H733" s="31"/>
    </row>
    <row r="734" spans="1:8">
      <c r="A734" s="31"/>
      <c r="B734" s="31"/>
      <c r="C734" s="31"/>
      <c r="D734" s="31"/>
      <c r="E734" s="31"/>
      <c r="F734" s="31"/>
      <c r="G734" s="31"/>
      <c r="H734" s="31"/>
    </row>
    <row r="735" spans="1:8">
      <c r="A735" s="31"/>
      <c r="B735" s="31"/>
      <c r="C735" s="31"/>
      <c r="D735" s="31"/>
      <c r="E735" s="31"/>
      <c r="F735" s="31"/>
      <c r="G735" s="31"/>
      <c r="H735" s="31"/>
    </row>
    <row r="736" spans="1:8">
      <c r="A736" s="31"/>
      <c r="B736" s="31"/>
      <c r="C736" s="31"/>
      <c r="D736" s="31"/>
      <c r="E736" s="31"/>
      <c r="F736" s="31"/>
      <c r="G736" s="31"/>
      <c r="H736" s="31"/>
    </row>
    <row r="737" spans="1:8">
      <c r="A737" s="31"/>
      <c r="B737" s="31"/>
      <c r="C737" s="31"/>
      <c r="D737" s="31"/>
      <c r="E737" s="31"/>
      <c r="F737" s="31"/>
      <c r="G737" s="31"/>
      <c r="H737" s="31"/>
    </row>
    <row r="738" spans="1:8">
      <c r="A738" s="31"/>
      <c r="B738" s="31"/>
      <c r="C738" s="31"/>
      <c r="D738" s="31"/>
      <c r="E738" s="31"/>
      <c r="F738" s="31"/>
      <c r="G738" s="31"/>
      <c r="H738" s="31"/>
    </row>
    <row r="739" spans="1:8">
      <c r="A739" s="31"/>
      <c r="B739" s="31"/>
      <c r="C739" s="31"/>
      <c r="D739" s="31"/>
      <c r="E739" s="31"/>
      <c r="F739" s="31"/>
      <c r="G739" s="31"/>
      <c r="H739" s="31"/>
    </row>
    <row r="740" spans="1:8">
      <c r="A740" s="31"/>
      <c r="B740" s="31"/>
      <c r="C740" s="31"/>
      <c r="D740" s="31"/>
      <c r="E740" s="31"/>
      <c r="F740" s="31"/>
      <c r="G740" s="31"/>
      <c r="H740" s="31"/>
    </row>
    <row r="741" spans="1:8">
      <c r="A741" s="31"/>
      <c r="B741" s="31"/>
      <c r="C741" s="31"/>
      <c r="D741" s="31"/>
      <c r="E741" s="31"/>
      <c r="F741" s="31"/>
      <c r="G741" s="31"/>
      <c r="H741" s="31"/>
    </row>
    <row r="742" spans="1:8">
      <c r="A742" s="31"/>
      <c r="B742" s="31"/>
      <c r="C742" s="31"/>
      <c r="D742" s="31"/>
      <c r="E742" s="31"/>
      <c r="F742" s="31"/>
      <c r="G742" s="31"/>
      <c r="H742" s="31"/>
    </row>
    <row r="743" spans="1:8">
      <c r="A743" s="31"/>
      <c r="B743" s="31"/>
      <c r="C743" s="31"/>
      <c r="D743" s="31"/>
      <c r="E743" s="31"/>
      <c r="F743" s="31"/>
      <c r="G743" s="31"/>
      <c r="H743" s="31"/>
    </row>
    <row r="744" spans="1:8">
      <c r="A744" s="31"/>
      <c r="B744" s="31"/>
      <c r="C744" s="31"/>
      <c r="D744" s="31"/>
      <c r="E744" s="31"/>
      <c r="F744" s="31"/>
      <c r="G744" s="31"/>
      <c r="H744" s="31"/>
    </row>
    <row r="745" spans="1:8">
      <c r="A745" s="31"/>
      <c r="B745" s="31"/>
      <c r="C745" s="31"/>
      <c r="D745" s="31"/>
      <c r="E745" s="31"/>
      <c r="F745" s="31"/>
      <c r="G745" s="31"/>
      <c r="H745" s="31"/>
    </row>
    <row r="746" spans="1:8">
      <c r="A746" s="31"/>
      <c r="B746" s="31"/>
      <c r="C746" s="31"/>
      <c r="D746" s="31"/>
      <c r="E746" s="31"/>
      <c r="F746" s="31"/>
      <c r="G746" s="31"/>
      <c r="H746" s="31"/>
    </row>
    <row r="747" spans="1:8">
      <c r="A747" s="31"/>
      <c r="B747" s="31"/>
      <c r="C747" s="31"/>
      <c r="D747" s="31"/>
      <c r="E747" s="31"/>
      <c r="F747" s="31"/>
      <c r="G747" s="31"/>
      <c r="H747" s="31"/>
    </row>
    <row r="748" spans="1:8">
      <c r="A748" s="31"/>
      <c r="B748" s="31"/>
      <c r="C748" s="31"/>
      <c r="D748" s="31"/>
      <c r="E748" s="31"/>
      <c r="F748" s="31"/>
      <c r="G748" s="31"/>
      <c r="H748" s="31"/>
    </row>
    <row r="749" spans="1:8">
      <c r="A749" s="31"/>
      <c r="B749" s="31"/>
      <c r="C749" s="31"/>
      <c r="D749" s="31"/>
      <c r="E749" s="31"/>
      <c r="F749" s="31"/>
      <c r="G749" s="31"/>
      <c r="H749" s="31"/>
    </row>
    <row r="750" spans="1:8">
      <c r="A750" s="31"/>
      <c r="B750" s="31"/>
      <c r="C750" s="31"/>
      <c r="D750" s="31"/>
      <c r="E750" s="31"/>
      <c r="F750" s="31"/>
      <c r="G750" s="31"/>
      <c r="H750" s="31"/>
    </row>
    <row r="751" spans="1:8">
      <c r="A751" s="31"/>
      <c r="B751" s="31"/>
      <c r="C751" s="31"/>
      <c r="D751" s="31"/>
      <c r="E751" s="31"/>
      <c r="F751" s="31"/>
      <c r="G751" s="31"/>
      <c r="H751" s="31"/>
    </row>
    <row r="752" spans="1:8">
      <c r="A752" s="20"/>
      <c r="B752" s="20"/>
      <c r="C752" s="20"/>
      <c r="D752" s="20"/>
      <c r="E752" s="20"/>
      <c r="F752" s="48"/>
      <c r="G752" s="49"/>
      <c r="H752" s="50"/>
    </row>
    <row r="753" spans="1:8">
      <c r="A753" s="20"/>
      <c r="B753" s="20"/>
      <c r="C753" s="20"/>
      <c r="D753" s="20"/>
      <c r="E753" s="20"/>
      <c r="F753" s="48"/>
      <c r="G753" s="49"/>
      <c r="H753" s="50"/>
    </row>
    <row r="754" spans="1:8">
      <c r="A754" s="20"/>
      <c r="B754" s="20"/>
      <c r="C754" s="20"/>
      <c r="D754" s="20"/>
      <c r="E754" s="20"/>
      <c r="F754" s="48"/>
      <c r="G754" s="49"/>
      <c r="H754" s="50"/>
    </row>
    <row r="755" spans="1:8">
      <c r="A755" s="20"/>
      <c r="B755" s="20"/>
      <c r="C755" s="20"/>
      <c r="D755" s="20"/>
      <c r="E755" s="20"/>
      <c r="F755" s="48"/>
      <c r="G755" s="49"/>
      <c r="H755" s="50"/>
    </row>
    <row r="756" spans="1:8">
      <c r="A756" s="20"/>
      <c r="B756" s="20"/>
      <c r="C756" s="20"/>
      <c r="D756" s="20"/>
      <c r="E756" s="20"/>
      <c r="F756" s="48"/>
      <c r="G756" s="49"/>
      <c r="H756" s="50"/>
    </row>
    <row r="757" spans="1:8">
      <c r="A757" s="20"/>
      <c r="B757" s="20"/>
      <c r="C757" s="20"/>
      <c r="D757" s="20"/>
      <c r="E757" s="20"/>
      <c r="F757" s="48"/>
      <c r="G757" s="49"/>
      <c r="H757" s="50"/>
    </row>
    <row r="758" spans="1:8">
      <c r="A758" s="20"/>
      <c r="B758" s="20"/>
      <c r="C758" s="20"/>
      <c r="D758" s="20"/>
      <c r="E758" s="20"/>
      <c r="F758" s="48"/>
      <c r="G758" s="49"/>
      <c r="H758" s="50"/>
    </row>
    <row r="759" spans="1:8">
      <c r="A759" s="20"/>
      <c r="B759" s="20"/>
      <c r="C759" s="20"/>
      <c r="D759" s="20"/>
      <c r="E759" s="20"/>
      <c r="F759" s="48"/>
      <c r="G759" s="49"/>
      <c r="H759" s="50"/>
    </row>
    <row r="760" spans="1:8">
      <c r="A760" s="20"/>
      <c r="B760" s="20"/>
      <c r="C760" s="20"/>
      <c r="D760" s="20"/>
      <c r="E760" s="20"/>
      <c r="F760" s="48"/>
      <c r="G760" s="49"/>
      <c r="H760" s="50"/>
    </row>
    <row r="761" spans="1:8">
      <c r="A761" s="20"/>
      <c r="B761" s="20"/>
      <c r="C761" s="20"/>
      <c r="D761" s="20"/>
      <c r="E761" s="20"/>
      <c r="F761" s="48"/>
      <c r="G761" s="49"/>
      <c r="H761" s="50"/>
    </row>
    <row r="762" spans="1:8">
      <c r="A762" s="20"/>
      <c r="B762" s="20"/>
      <c r="C762" s="20"/>
      <c r="D762" s="20"/>
      <c r="E762" s="20"/>
      <c r="F762" s="48"/>
      <c r="G762" s="49"/>
      <c r="H762" s="50"/>
    </row>
    <row r="763" spans="1:8">
      <c r="A763" s="20"/>
      <c r="B763" s="20"/>
      <c r="C763" s="20"/>
      <c r="D763" s="20"/>
      <c r="E763" s="20"/>
      <c r="F763" s="48"/>
      <c r="G763" s="49"/>
      <c r="H763" s="50"/>
    </row>
    <row r="764" spans="1:8">
      <c r="A764" s="20"/>
      <c r="B764" s="20"/>
      <c r="C764" s="20"/>
      <c r="D764" s="20"/>
      <c r="E764" s="20"/>
      <c r="F764" s="48"/>
      <c r="G764" s="49"/>
      <c r="H764" s="50"/>
    </row>
    <row r="765" spans="1:8">
      <c r="A765" s="20"/>
      <c r="B765" s="20"/>
      <c r="C765" s="20"/>
      <c r="D765" s="20"/>
      <c r="E765" s="20"/>
      <c r="F765" s="48"/>
      <c r="G765" s="49"/>
      <c r="H765" s="50"/>
    </row>
    <row r="766" spans="1:8">
      <c r="A766" s="20"/>
      <c r="B766" s="20"/>
      <c r="C766" s="20"/>
      <c r="D766" s="20"/>
      <c r="E766" s="20"/>
      <c r="F766" s="48"/>
      <c r="G766" s="49"/>
      <c r="H766" s="50"/>
    </row>
    <row r="767" spans="1:8">
      <c r="A767" s="20"/>
      <c r="B767" s="20"/>
      <c r="C767" s="20"/>
      <c r="D767" s="20"/>
      <c r="E767" s="20"/>
      <c r="F767" s="48"/>
      <c r="G767" s="49"/>
      <c r="H767" s="50"/>
    </row>
    <row r="768" spans="1:8">
      <c r="A768" s="20"/>
      <c r="B768" s="20"/>
      <c r="C768" s="20"/>
      <c r="D768" s="20"/>
      <c r="E768" s="20"/>
      <c r="F768" s="48"/>
      <c r="G768" s="49"/>
      <c r="H768" s="50"/>
    </row>
    <row r="769" spans="1:8">
      <c r="A769" s="20"/>
      <c r="B769" s="20"/>
      <c r="C769" s="20"/>
      <c r="D769" s="20"/>
      <c r="E769" s="20"/>
      <c r="F769" s="48"/>
      <c r="G769" s="49"/>
      <c r="H769" s="50"/>
    </row>
    <row r="770" spans="1:8">
      <c r="A770" s="20"/>
      <c r="B770" s="20"/>
      <c r="C770" s="20"/>
      <c r="D770" s="20"/>
      <c r="E770" s="20"/>
      <c r="F770" s="48"/>
      <c r="G770" s="49"/>
      <c r="H770" s="50"/>
    </row>
    <row r="771" spans="1:8">
      <c r="A771" s="20"/>
      <c r="B771" s="20"/>
      <c r="C771" s="20"/>
      <c r="D771" s="20"/>
      <c r="E771" s="20"/>
      <c r="F771" s="48"/>
      <c r="G771" s="49"/>
      <c r="H771" s="50"/>
    </row>
    <row r="772" spans="1:8">
      <c r="A772" s="20"/>
      <c r="B772" s="20"/>
      <c r="C772" s="20"/>
      <c r="D772" s="20"/>
      <c r="E772" s="20"/>
      <c r="F772" s="48"/>
      <c r="G772" s="49"/>
      <c r="H772" s="50"/>
    </row>
    <row r="773" spans="1:8">
      <c r="A773" s="20"/>
      <c r="B773" s="20"/>
      <c r="C773" s="20"/>
      <c r="D773" s="20"/>
      <c r="E773" s="20"/>
      <c r="F773" s="48"/>
      <c r="G773" s="49"/>
      <c r="H773" s="50"/>
    </row>
    <row r="774" spans="1:8">
      <c r="A774" s="20"/>
      <c r="B774" s="20"/>
      <c r="C774" s="20"/>
      <c r="D774" s="20"/>
      <c r="E774" s="20"/>
      <c r="F774" s="48"/>
      <c r="G774" s="49"/>
      <c r="H774" s="50"/>
    </row>
    <row r="775" spans="1:8">
      <c r="A775" s="20"/>
      <c r="B775" s="20"/>
      <c r="C775" s="20"/>
      <c r="D775" s="20"/>
      <c r="E775" s="20"/>
      <c r="F775" s="48"/>
      <c r="G775" s="49"/>
      <c r="H775" s="50"/>
    </row>
    <row r="776" spans="1:8">
      <c r="A776" s="20"/>
      <c r="B776" s="20"/>
      <c r="C776" s="20"/>
      <c r="D776" s="20"/>
      <c r="E776" s="20"/>
      <c r="F776" s="48"/>
      <c r="G776" s="49"/>
      <c r="H776" s="50"/>
    </row>
    <row r="777" spans="1:8">
      <c r="A777" s="20"/>
      <c r="B777" s="20"/>
      <c r="C777" s="20"/>
      <c r="D777" s="20"/>
      <c r="E777" s="20"/>
      <c r="F777" s="48"/>
      <c r="G777" s="49"/>
      <c r="H777" s="50"/>
    </row>
    <row r="778" spans="1:8">
      <c r="A778" s="20"/>
      <c r="B778" s="20"/>
      <c r="C778" s="20"/>
      <c r="D778" s="20"/>
      <c r="E778" s="20"/>
      <c r="F778" s="48"/>
      <c r="G778" s="49"/>
      <c r="H778" s="50"/>
    </row>
    <row r="779" spans="1:8">
      <c r="A779" s="20"/>
      <c r="B779" s="20"/>
      <c r="C779" s="20"/>
      <c r="D779" s="20"/>
      <c r="E779" s="20"/>
      <c r="F779" s="48"/>
      <c r="G779" s="49"/>
      <c r="H779" s="50"/>
    </row>
    <row r="780" spans="1:8">
      <c r="A780" s="20"/>
      <c r="B780" s="20"/>
      <c r="C780" s="20"/>
      <c r="D780" s="20"/>
      <c r="E780" s="20"/>
      <c r="F780" s="48"/>
      <c r="G780" s="49"/>
      <c r="H780" s="50"/>
    </row>
    <row r="781" spans="1:8">
      <c r="A781" s="20"/>
      <c r="B781" s="20"/>
      <c r="C781" s="20"/>
      <c r="D781" s="20"/>
      <c r="E781" s="20"/>
      <c r="F781" s="48"/>
      <c r="G781" s="49"/>
      <c r="H781" s="50"/>
    </row>
    <row r="782" spans="1:8">
      <c r="A782" s="20"/>
      <c r="B782" s="20"/>
      <c r="C782" s="20"/>
      <c r="D782" s="20"/>
      <c r="E782" s="20"/>
      <c r="F782" s="48"/>
      <c r="G782" s="49"/>
      <c r="H782" s="50"/>
    </row>
    <row r="783" spans="1:8">
      <c r="A783" s="20"/>
      <c r="B783" s="20"/>
      <c r="C783" s="20"/>
      <c r="D783" s="20"/>
      <c r="E783" s="20"/>
      <c r="F783" s="48"/>
      <c r="G783" s="49"/>
      <c r="H783" s="50"/>
    </row>
    <row r="784" spans="1:8">
      <c r="A784" s="20"/>
      <c r="B784" s="20"/>
      <c r="C784" s="20"/>
      <c r="D784" s="20"/>
      <c r="E784" s="20"/>
      <c r="F784" s="48"/>
      <c r="G784" s="49"/>
      <c r="H784" s="50"/>
    </row>
    <row r="785" spans="1:8">
      <c r="A785" s="20"/>
      <c r="B785" s="20"/>
      <c r="C785" s="20"/>
      <c r="D785" s="20"/>
      <c r="E785" s="20"/>
      <c r="F785" s="48"/>
      <c r="G785" s="49"/>
      <c r="H785" s="50"/>
    </row>
    <row r="786" spans="1:8">
      <c r="A786" s="20"/>
      <c r="B786" s="20"/>
      <c r="C786" s="20"/>
      <c r="D786" s="20"/>
      <c r="E786" s="20"/>
      <c r="F786" s="48"/>
      <c r="G786" s="49"/>
      <c r="H786" s="50"/>
    </row>
    <row r="787" spans="1:8">
      <c r="A787" s="20"/>
      <c r="B787" s="20"/>
      <c r="C787" s="20"/>
      <c r="D787" s="20"/>
      <c r="E787" s="20"/>
      <c r="F787" s="48"/>
      <c r="G787" s="49"/>
      <c r="H787" s="50"/>
    </row>
    <row r="788" spans="1:8">
      <c r="A788" s="20"/>
      <c r="B788" s="20"/>
      <c r="C788" s="20"/>
      <c r="D788" s="20"/>
      <c r="E788" s="20"/>
      <c r="F788" s="48"/>
      <c r="G788" s="49"/>
      <c r="H788" s="50"/>
    </row>
    <row r="789" spans="1:8">
      <c r="A789" s="20"/>
      <c r="B789" s="20"/>
      <c r="C789" s="20"/>
      <c r="D789" s="20"/>
      <c r="E789" s="20"/>
      <c r="F789" s="48"/>
      <c r="G789" s="49"/>
      <c r="H789" s="50"/>
    </row>
    <row r="790" spans="1:8">
      <c r="A790" s="20"/>
      <c r="B790" s="20"/>
      <c r="C790" s="20"/>
      <c r="D790" s="20"/>
      <c r="E790" s="20"/>
      <c r="F790" s="48"/>
      <c r="G790" s="49"/>
      <c r="H790" s="50"/>
    </row>
    <row r="791" spans="1:8">
      <c r="A791" s="20"/>
      <c r="B791" s="20"/>
      <c r="C791" s="20"/>
      <c r="D791" s="20"/>
      <c r="E791" s="20"/>
      <c r="F791" s="48"/>
      <c r="G791" s="49"/>
      <c r="H791" s="50"/>
    </row>
    <row r="792" spans="1:8">
      <c r="A792" s="20"/>
      <c r="B792" s="20"/>
      <c r="C792" s="20"/>
      <c r="D792" s="20"/>
      <c r="E792" s="20"/>
      <c r="F792" s="48"/>
      <c r="G792" s="49"/>
      <c r="H792" s="50"/>
    </row>
    <row r="793" spans="1:8">
      <c r="A793" s="20"/>
      <c r="B793" s="20"/>
      <c r="C793" s="20"/>
      <c r="D793" s="20"/>
      <c r="E793" s="20"/>
      <c r="F793" s="48"/>
      <c r="G793" s="49"/>
      <c r="H793" s="50"/>
    </row>
    <row r="794" spans="1:8">
      <c r="A794" s="20"/>
      <c r="B794" s="20"/>
      <c r="C794" s="20"/>
      <c r="D794" s="20"/>
      <c r="E794" s="20"/>
      <c r="F794" s="48"/>
      <c r="G794" s="49"/>
      <c r="H794" s="50"/>
    </row>
    <row r="795" spans="1:8">
      <c r="A795" s="20"/>
      <c r="B795" s="20"/>
      <c r="C795" s="20"/>
      <c r="D795" s="20"/>
      <c r="E795" s="20"/>
      <c r="F795" s="48"/>
      <c r="G795" s="49"/>
      <c r="H795" s="50"/>
    </row>
    <row r="796" spans="1:8">
      <c r="A796" s="20"/>
      <c r="B796" s="20"/>
      <c r="C796" s="20"/>
      <c r="D796" s="20"/>
      <c r="E796" s="20"/>
      <c r="F796" s="48"/>
      <c r="G796" s="49"/>
      <c r="H796" s="50"/>
    </row>
    <row r="797" spans="1:8">
      <c r="A797" s="20"/>
      <c r="B797" s="20"/>
      <c r="C797" s="20"/>
      <c r="D797" s="20"/>
      <c r="E797" s="20"/>
      <c r="F797" s="48"/>
      <c r="G797" s="49"/>
      <c r="H797" s="50"/>
    </row>
    <row r="798" spans="1:8">
      <c r="A798" s="20"/>
      <c r="B798" s="20"/>
      <c r="C798" s="20"/>
      <c r="D798" s="20"/>
      <c r="E798" s="20"/>
      <c r="F798" s="48"/>
      <c r="G798" s="49"/>
      <c r="H798" s="50"/>
    </row>
    <row r="799" spans="1:8">
      <c r="A799" s="20"/>
      <c r="B799" s="20"/>
      <c r="C799" s="20"/>
      <c r="D799" s="20"/>
      <c r="E799" s="20"/>
      <c r="F799" s="48"/>
      <c r="G799" s="49"/>
      <c r="H799" s="50"/>
    </row>
    <row r="800" spans="1:8">
      <c r="A800" s="20"/>
      <c r="B800" s="20"/>
      <c r="C800" s="20"/>
      <c r="D800" s="20"/>
      <c r="E800" s="20"/>
      <c r="F800" s="48"/>
      <c r="G800" s="49"/>
      <c r="H800" s="50"/>
    </row>
    <row r="801" spans="1:8">
      <c r="A801" s="20"/>
      <c r="B801" s="20"/>
      <c r="C801" s="20"/>
      <c r="D801" s="20"/>
      <c r="E801" s="20"/>
      <c r="F801" s="48"/>
      <c r="G801" s="49"/>
      <c r="H801" s="50"/>
    </row>
    <row r="802" spans="1:8">
      <c r="A802" s="20"/>
      <c r="B802" s="20"/>
      <c r="C802" s="20"/>
      <c r="D802" s="20"/>
      <c r="E802" s="20"/>
      <c r="F802" s="48"/>
      <c r="G802" s="49"/>
      <c r="H802" s="50"/>
    </row>
    <row r="803" spans="1:8">
      <c r="A803" s="20"/>
      <c r="B803" s="20"/>
      <c r="C803" s="20"/>
      <c r="D803" s="20"/>
      <c r="E803" s="20"/>
      <c r="F803" s="48"/>
      <c r="G803" s="49"/>
      <c r="H803" s="50"/>
    </row>
    <row r="804" spans="1:8">
      <c r="A804" s="20"/>
      <c r="B804" s="20"/>
      <c r="C804" s="20"/>
      <c r="D804" s="20"/>
      <c r="E804" s="20"/>
      <c r="F804" s="48"/>
      <c r="G804" s="49"/>
      <c r="H804" s="50"/>
    </row>
    <row r="805" spans="1:8">
      <c r="A805" s="20"/>
      <c r="B805" s="20"/>
      <c r="C805" s="20"/>
      <c r="D805" s="20"/>
      <c r="E805" s="20"/>
      <c r="F805" s="48"/>
      <c r="G805" s="49"/>
      <c r="H805" s="50"/>
    </row>
    <row r="806" spans="1:8">
      <c r="A806" s="20"/>
      <c r="B806" s="20"/>
      <c r="C806" s="20"/>
      <c r="D806" s="20"/>
      <c r="E806" s="20"/>
      <c r="F806" s="48"/>
      <c r="G806" s="49"/>
      <c r="H806" s="50"/>
    </row>
    <row r="807" spans="1:8">
      <c r="A807" s="20"/>
      <c r="B807" s="20"/>
      <c r="C807" s="20"/>
      <c r="D807" s="20"/>
      <c r="E807" s="20"/>
      <c r="F807" s="48"/>
      <c r="G807" s="49"/>
      <c r="H807" s="50"/>
    </row>
    <row r="808" spans="1:8">
      <c r="A808" s="20"/>
      <c r="B808" s="20"/>
      <c r="C808" s="20"/>
      <c r="D808" s="20"/>
      <c r="E808" s="20"/>
      <c r="F808" s="48"/>
      <c r="G808" s="49"/>
      <c r="H808" s="50"/>
    </row>
    <row r="809" spans="1:8">
      <c r="A809" s="20"/>
      <c r="B809" s="20"/>
      <c r="C809" s="20"/>
      <c r="D809" s="20"/>
      <c r="E809" s="20"/>
      <c r="F809" s="48"/>
      <c r="G809" s="49"/>
      <c r="H809" s="50"/>
    </row>
    <row r="810" spans="1:8">
      <c r="A810" s="20"/>
      <c r="B810" s="20"/>
      <c r="C810" s="20"/>
      <c r="D810" s="20"/>
      <c r="E810" s="20"/>
      <c r="F810" s="48"/>
      <c r="G810" s="49"/>
      <c r="H810" s="50"/>
    </row>
    <row r="811" spans="1:8">
      <c r="A811" s="20"/>
      <c r="B811" s="20"/>
      <c r="C811" s="20"/>
      <c r="D811" s="20"/>
      <c r="E811" s="20"/>
      <c r="F811" s="48"/>
      <c r="G811" s="49"/>
      <c r="H811" s="50"/>
    </row>
    <row r="812" spans="1:8">
      <c r="A812" s="20"/>
      <c r="B812" s="20"/>
      <c r="C812" s="20"/>
      <c r="D812" s="20"/>
      <c r="E812" s="20"/>
      <c r="F812" s="48"/>
      <c r="G812" s="49"/>
      <c r="H812" s="50"/>
    </row>
    <row r="813" spans="1:8">
      <c r="A813" s="20"/>
      <c r="B813" s="20"/>
      <c r="C813" s="20"/>
      <c r="D813" s="20"/>
      <c r="E813" s="20"/>
      <c r="F813" s="48"/>
      <c r="G813" s="49"/>
      <c r="H813" s="50"/>
    </row>
    <row r="814" spans="1:8">
      <c r="A814" s="20"/>
      <c r="B814" s="20"/>
      <c r="C814" s="20"/>
      <c r="D814" s="20"/>
      <c r="E814" s="20"/>
      <c r="F814" s="48"/>
      <c r="G814" s="49"/>
      <c r="H814" s="50"/>
    </row>
    <row r="815" spans="1:8">
      <c r="A815" s="20"/>
      <c r="B815" s="20"/>
      <c r="C815" s="20"/>
      <c r="D815" s="20"/>
      <c r="E815" s="20"/>
      <c r="F815" s="48"/>
      <c r="G815" s="49"/>
      <c r="H815" s="50"/>
    </row>
    <row r="816" spans="1:8">
      <c r="A816" s="20"/>
      <c r="B816" s="20"/>
      <c r="C816" s="20"/>
      <c r="D816" s="20"/>
      <c r="E816" s="20"/>
      <c r="F816" s="48"/>
      <c r="G816" s="49"/>
      <c r="H816" s="50"/>
    </row>
    <row r="817" spans="1:8">
      <c r="A817" s="20"/>
      <c r="B817" s="20"/>
      <c r="C817" s="20"/>
      <c r="D817" s="20"/>
      <c r="E817" s="20"/>
      <c r="F817" s="48"/>
      <c r="G817" s="49"/>
      <c r="H817" s="50"/>
    </row>
    <row r="818" spans="1:8">
      <c r="A818" s="20"/>
      <c r="B818" s="20"/>
      <c r="C818" s="20"/>
      <c r="D818" s="20"/>
      <c r="E818" s="20"/>
      <c r="F818" s="48"/>
      <c r="G818" s="49"/>
      <c r="H818" s="50"/>
    </row>
    <row r="819" spans="1:8">
      <c r="A819" s="20"/>
      <c r="B819" s="20"/>
      <c r="C819" s="20"/>
      <c r="D819" s="20"/>
      <c r="E819" s="20"/>
      <c r="F819" s="48"/>
      <c r="G819" s="49"/>
      <c r="H819" s="50"/>
    </row>
    <row r="820" spans="1:8">
      <c r="A820" s="20"/>
      <c r="B820" s="20"/>
      <c r="C820" s="20"/>
      <c r="D820" s="20"/>
      <c r="E820" s="20"/>
      <c r="F820" s="48"/>
      <c r="G820" s="49"/>
      <c r="H820" s="50"/>
    </row>
    <row r="821" spans="1:8">
      <c r="A821" s="20"/>
      <c r="B821" s="20"/>
      <c r="C821" s="20"/>
      <c r="D821" s="20"/>
      <c r="E821" s="20"/>
      <c r="F821" s="48"/>
      <c r="G821" s="49"/>
      <c r="H821" s="50"/>
    </row>
    <row r="822" spans="1:8">
      <c r="A822" s="20"/>
      <c r="B822" s="20"/>
      <c r="C822" s="20"/>
      <c r="D822" s="20"/>
      <c r="E822" s="20"/>
      <c r="F822" s="48"/>
      <c r="G822" s="49"/>
      <c r="H822" s="50"/>
    </row>
    <row r="823" spans="1:8">
      <c r="A823" s="20"/>
      <c r="B823" s="20"/>
      <c r="C823" s="20"/>
      <c r="D823" s="20"/>
      <c r="E823" s="20"/>
      <c r="F823" s="48"/>
      <c r="G823" s="49"/>
      <c r="H823" s="50"/>
    </row>
    <row r="824" spans="1:8">
      <c r="A824" s="20"/>
      <c r="B824" s="20"/>
      <c r="C824" s="20"/>
      <c r="D824" s="20"/>
      <c r="E824" s="20"/>
      <c r="F824" s="48"/>
      <c r="G824" s="49"/>
      <c r="H824" s="50"/>
    </row>
    <row r="825" spans="1:8">
      <c r="A825" s="20"/>
      <c r="B825" s="20"/>
      <c r="C825" s="20"/>
      <c r="D825" s="20"/>
      <c r="E825" s="20"/>
      <c r="F825" s="48"/>
      <c r="G825" s="49"/>
      <c r="H825" s="50"/>
    </row>
    <row r="826" spans="1:8">
      <c r="A826" s="20"/>
      <c r="B826" s="20"/>
      <c r="C826" s="20"/>
      <c r="D826" s="20"/>
      <c r="E826" s="20"/>
      <c r="F826" s="48"/>
      <c r="G826" s="49"/>
      <c r="H826" s="50"/>
    </row>
    <row r="827" spans="1:8">
      <c r="A827" s="20"/>
      <c r="B827" s="20"/>
      <c r="C827" s="20"/>
      <c r="D827" s="20"/>
      <c r="E827" s="20"/>
      <c r="F827" s="48"/>
      <c r="G827" s="49"/>
      <c r="H827" s="50"/>
    </row>
    <row r="828" spans="1:8">
      <c r="A828" s="20"/>
      <c r="B828" s="20"/>
      <c r="C828" s="20"/>
      <c r="D828" s="20"/>
      <c r="E828" s="20"/>
      <c r="F828" s="48"/>
      <c r="G828" s="49"/>
      <c r="H828" s="50"/>
    </row>
    <row r="829" spans="1:8">
      <c r="A829" s="20"/>
      <c r="B829" s="20"/>
      <c r="C829" s="20"/>
      <c r="D829" s="20"/>
      <c r="E829" s="20"/>
      <c r="F829" s="48"/>
      <c r="G829" s="49"/>
      <c r="H829" s="50"/>
    </row>
    <row r="830" spans="1:8">
      <c r="A830" s="20"/>
      <c r="B830" s="20"/>
      <c r="C830" s="20"/>
      <c r="D830" s="20"/>
      <c r="E830" s="20"/>
      <c r="F830" s="48"/>
      <c r="G830" s="49"/>
      <c r="H830" s="50"/>
    </row>
    <row r="831" spans="1:8">
      <c r="A831" s="20"/>
      <c r="B831" s="20"/>
      <c r="C831" s="20"/>
      <c r="D831" s="20"/>
      <c r="E831" s="20"/>
      <c r="F831" s="48"/>
      <c r="G831" s="49"/>
      <c r="H831" s="50"/>
    </row>
    <row r="832" spans="1:8">
      <c r="A832" s="20"/>
      <c r="B832" s="20"/>
      <c r="C832" s="20"/>
      <c r="D832" s="20"/>
      <c r="E832" s="20"/>
      <c r="F832" s="48"/>
      <c r="G832" s="49"/>
      <c r="H832" s="50"/>
    </row>
    <row r="833" spans="1:8">
      <c r="A833" s="20"/>
      <c r="B833" s="20"/>
      <c r="C833" s="20"/>
      <c r="D833" s="20"/>
      <c r="E833" s="20"/>
      <c r="F833" s="48"/>
      <c r="G833" s="49"/>
      <c r="H833" s="50"/>
    </row>
    <row r="834" spans="1:8">
      <c r="A834" s="20"/>
      <c r="B834" s="20"/>
      <c r="C834" s="20"/>
      <c r="D834" s="20"/>
      <c r="E834" s="20"/>
      <c r="F834" s="48"/>
      <c r="G834" s="49"/>
      <c r="H834" s="50"/>
    </row>
    <row r="835" spans="1:8">
      <c r="A835" s="20"/>
      <c r="B835" s="20"/>
      <c r="C835" s="20"/>
      <c r="D835" s="20"/>
      <c r="E835" s="20"/>
      <c r="F835" s="48"/>
      <c r="G835" s="49"/>
      <c r="H835" s="50"/>
    </row>
    <row r="836" spans="1:8">
      <c r="A836" s="20"/>
      <c r="B836" s="20"/>
      <c r="C836" s="20"/>
      <c r="D836" s="20"/>
      <c r="E836" s="20"/>
      <c r="F836" s="48"/>
      <c r="G836" s="49"/>
      <c r="H836" s="50"/>
    </row>
    <row r="837" spans="1:8">
      <c r="A837" s="20"/>
      <c r="B837" s="20"/>
      <c r="C837" s="20"/>
      <c r="D837" s="20"/>
      <c r="E837" s="20"/>
      <c r="F837" s="48"/>
      <c r="G837" s="49"/>
      <c r="H837" s="50"/>
    </row>
    <row r="838" spans="1:8">
      <c r="A838" s="20"/>
      <c r="B838" s="20"/>
      <c r="C838" s="20"/>
      <c r="D838" s="20"/>
      <c r="E838" s="20"/>
      <c r="F838" s="48"/>
      <c r="G838" s="49"/>
      <c r="H838" s="50"/>
    </row>
    <row r="839" spans="1:8">
      <c r="A839" s="20"/>
      <c r="B839" s="20"/>
      <c r="C839" s="20"/>
      <c r="D839" s="20"/>
      <c r="E839" s="20"/>
      <c r="F839" s="48"/>
      <c r="G839" s="49"/>
      <c r="H839" s="50"/>
    </row>
    <row r="840" spans="1:8">
      <c r="A840" s="20"/>
      <c r="B840" s="20"/>
      <c r="C840" s="20"/>
      <c r="D840" s="20"/>
      <c r="E840" s="20"/>
      <c r="F840" s="48"/>
      <c r="G840" s="49"/>
      <c r="H840" s="50"/>
    </row>
    <row r="841" spans="1:8">
      <c r="A841" s="20"/>
      <c r="B841" s="20"/>
      <c r="C841" s="20"/>
      <c r="D841" s="20"/>
      <c r="E841" s="20"/>
      <c r="F841" s="48"/>
      <c r="G841" s="49"/>
      <c r="H841" s="50"/>
    </row>
    <row r="842" spans="1:8">
      <c r="A842" s="20"/>
      <c r="B842" s="20"/>
      <c r="C842" s="20"/>
      <c r="D842" s="20"/>
      <c r="E842" s="20"/>
      <c r="F842" s="48"/>
      <c r="G842" s="49"/>
      <c r="H842" s="50"/>
    </row>
    <row r="843" spans="1:8">
      <c r="A843" s="20"/>
      <c r="B843" s="20"/>
      <c r="C843" s="20"/>
      <c r="D843" s="20"/>
      <c r="E843" s="20"/>
      <c r="F843" s="48"/>
      <c r="G843" s="49"/>
      <c r="H843" s="50"/>
    </row>
    <row r="844" spans="1:8">
      <c r="A844" s="20"/>
      <c r="B844" s="20"/>
      <c r="C844" s="20"/>
      <c r="D844" s="20"/>
      <c r="E844" s="20"/>
      <c r="F844" s="48"/>
      <c r="G844" s="49"/>
      <c r="H844" s="50"/>
    </row>
    <row r="845" spans="1:8">
      <c r="A845" s="20"/>
      <c r="B845" s="20"/>
      <c r="C845" s="20"/>
      <c r="D845" s="20"/>
      <c r="E845" s="20"/>
      <c r="F845" s="48"/>
      <c r="G845" s="49"/>
      <c r="H845" s="50"/>
    </row>
    <row r="846" spans="1:8">
      <c r="A846" s="20"/>
      <c r="B846" s="20"/>
      <c r="C846" s="20"/>
      <c r="D846" s="20"/>
      <c r="E846" s="20"/>
      <c r="F846" s="48"/>
      <c r="G846" s="49"/>
      <c r="H846" s="50"/>
    </row>
    <row r="847" spans="1:8">
      <c r="A847" s="20"/>
      <c r="B847" s="20"/>
      <c r="C847" s="20"/>
      <c r="D847" s="20"/>
      <c r="E847" s="20"/>
      <c r="F847" s="48"/>
      <c r="G847" s="49"/>
      <c r="H847" s="50"/>
    </row>
    <row r="848" spans="1:8">
      <c r="A848" s="20"/>
      <c r="B848" s="20"/>
      <c r="C848" s="20"/>
      <c r="D848" s="20"/>
      <c r="E848" s="20"/>
      <c r="F848" s="48"/>
      <c r="G848" s="49"/>
      <c r="H848" s="50"/>
    </row>
    <row r="849" spans="1:8">
      <c r="A849" s="20"/>
      <c r="B849" s="20"/>
      <c r="C849" s="20"/>
      <c r="D849" s="20"/>
      <c r="E849" s="20"/>
      <c r="F849" s="48"/>
      <c r="G849" s="49"/>
      <c r="H849" s="50"/>
    </row>
    <row r="850" spans="1:8">
      <c r="A850" s="20"/>
      <c r="B850" s="20"/>
      <c r="C850" s="20"/>
      <c r="D850" s="20"/>
      <c r="E850" s="20"/>
      <c r="F850" s="48"/>
      <c r="G850" s="49"/>
      <c r="H850" s="50"/>
    </row>
    <row r="851" spans="1:8">
      <c r="A851" s="20"/>
      <c r="B851" s="20"/>
      <c r="C851" s="20"/>
      <c r="D851" s="20"/>
      <c r="E851" s="20"/>
      <c r="F851" s="48"/>
      <c r="G851" s="49"/>
      <c r="H851" s="50"/>
    </row>
    <row r="852" spans="1:8">
      <c r="A852" s="20"/>
      <c r="B852" s="20"/>
      <c r="C852" s="20"/>
      <c r="D852" s="20"/>
      <c r="E852" s="20"/>
      <c r="F852" s="48"/>
      <c r="G852" s="49"/>
      <c r="H852" s="50"/>
    </row>
    <row r="853" spans="1:8">
      <c r="A853" s="20"/>
      <c r="B853" s="20"/>
      <c r="C853" s="20"/>
      <c r="D853" s="20"/>
      <c r="E853" s="20"/>
      <c r="F853" s="48"/>
      <c r="G853" s="49"/>
      <c r="H853" s="50"/>
    </row>
    <row r="854" spans="1:8">
      <c r="A854" s="20"/>
      <c r="B854" s="20"/>
      <c r="C854" s="20"/>
      <c r="D854" s="20"/>
      <c r="E854" s="20"/>
      <c r="F854" s="48"/>
      <c r="G854" s="49"/>
      <c r="H854" s="50"/>
    </row>
    <row r="855" spans="1:8">
      <c r="A855" s="20"/>
      <c r="B855" s="20"/>
      <c r="C855" s="20"/>
      <c r="D855" s="20"/>
      <c r="E855" s="20"/>
      <c r="F855" s="48"/>
      <c r="G855" s="49"/>
      <c r="H855" s="50"/>
    </row>
    <row r="856" spans="1:8">
      <c r="A856" s="20"/>
      <c r="B856" s="20"/>
      <c r="C856" s="20"/>
      <c r="D856" s="20"/>
      <c r="E856" s="20"/>
      <c r="F856" s="48"/>
      <c r="G856" s="49"/>
      <c r="H856" s="50"/>
    </row>
    <row r="857" spans="1:8">
      <c r="A857" s="20"/>
      <c r="B857" s="20"/>
      <c r="C857" s="20"/>
      <c r="D857" s="20"/>
      <c r="E857" s="20"/>
      <c r="F857" s="48"/>
      <c r="G857" s="49"/>
      <c r="H857" s="50"/>
    </row>
    <row r="858" spans="1:8">
      <c r="A858" s="20"/>
      <c r="B858" s="20"/>
      <c r="C858" s="20"/>
      <c r="D858" s="20"/>
      <c r="E858" s="20"/>
      <c r="F858" s="48"/>
      <c r="G858" s="49"/>
      <c r="H858" s="50"/>
    </row>
    <row r="859" spans="1:8">
      <c r="A859" s="20"/>
      <c r="B859" s="20"/>
      <c r="C859" s="20"/>
      <c r="D859" s="20"/>
      <c r="E859" s="20"/>
      <c r="F859" s="48"/>
      <c r="G859" s="49"/>
      <c r="H859" s="50"/>
    </row>
    <row r="860" spans="1:8">
      <c r="A860" s="20"/>
      <c r="B860" s="20"/>
      <c r="C860" s="20"/>
      <c r="D860" s="20"/>
      <c r="E860" s="20"/>
      <c r="F860" s="48"/>
      <c r="G860" s="49"/>
      <c r="H860" s="50"/>
    </row>
    <row r="861" spans="1:8">
      <c r="A861" s="20"/>
      <c r="B861" s="20"/>
      <c r="C861" s="20"/>
      <c r="D861" s="20"/>
      <c r="E861" s="20"/>
      <c r="F861" s="48"/>
      <c r="G861" s="49"/>
      <c r="H861" s="50"/>
    </row>
    <row r="862" spans="1:8">
      <c r="A862" s="20"/>
      <c r="B862" s="20"/>
      <c r="C862" s="20"/>
      <c r="D862" s="20"/>
      <c r="E862" s="20"/>
      <c r="F862" s="48"/>
      <c r="G862" s="49"/>
      <c r="H862" s="50"/>
    </row>
    <row r="863" spans="1:8">
      <c r="A863" s="20"/>
      <c r="B863" s="20"/>
      <c r="C863" s="20"/>
      <c r="D863" s="20"/>
      <c r="E863" s="20"/>
      <c r="F863" s="48"/>
      <c r="G863" s="49"/>
      <c r="H863" s="50"/>
    </row>
    <row r="864" spans="1:8">
      <c r="A864" s="20"/>
      <c r="B864" s="20"/>
      <c r="C864" s="20"/>
      <c r="D864" s="20"/>
      <c r="E864" s="20"/>
      <c r="F864" s="48"/>
      <c r="G864" s="49"/>
      <c r="H864" s="50"/>
    </row>
    <row r="865" spans="1:8">
      <c r="A865" s="20"/>
      <c r="B865" s="20"/>
      <c r="C865" s="20"/>
      <c r="D865" s="20"/>
      <c r="E865" s="20"/>
      <c r="F865" s="48"/>
      <c r="G865" s="49"/>
      <c r="H865" s="50"/>
    </row>
    <row r="866" spans="1:8">
      <c r="A866" s="20"/>
      <c r="B866" s="20"/>
      <c r="C866" s="20"/>
      <c r="D866" s="20"/>
      <c r="E866" s="20"/>
      <c r="F866" s="48"/>
      <c r="G866" s="49"/>
      <c r="H866" s="50"/>
    </row>
    <row r="867" spans="1:8">
      <c r="A867" s="20"/>
      <c r="B867" s="20"/>
      <c r="C867" s="20"/>
      <c r="D867" s="20"/>
      <c r="E867" s="20"/>
      <c r="F867" s="48"/>
      <c r="G867" s="49"/>
      <c r="H867" s="50"/>
    </row>
    <row r="868" spans="1:8">
      <c r="A868" s="20"/>
      <c r="B868" s="20"/>
      <c r="C868" s="20"/>
      <c r="D868" s="20"/>
      <c r="E868" s="20"/>
      <c r="F868" s="48"/>
      <c r="G868" s="49"/>
      <c r="H868" s="50"/>
    </row>
    <row r="869" spans="1:8">
      <c r="A869" s="20"/>
      <c r="B869" s="20"/>
      <c r="C869" s="20"/>
      <c r="D869" s="20"/>
      <c r="E869" s="20"/>
      <c r="F869" s="48"/>
      <c r="G869" s="49"/>
      <c r="H869" s="50"/>
    </row>
    <row r="870" spans="1:8">
      <c r="A870" s="20"/>
      <c r="B870" s="20"/>
      <c r="C870" s="20"/>
      <c r="D870" s="20"/>
      <c r="E870" s="20"/>
      <c r="F870" s="48"/>
      <c r="G870" s="49"/>
      <c r="H870" s="50"/>
    </row>
    <row r="871" spans="1:8">
      <c r="A871" s="20"/>
      <c r="B871" s="20"/>
      <c r="C871" s="20"/>
      <c r="D871" s="20"/>
      <c r="E871" s="20"/>
      <c r="F871" s="48"/>
      <c r="G871" s="49"/>
      <c r="H871" s="50"/>
    </row>
    <row r="872" spans="1:8">
      <c r="A872" s="20"/>
      <c r="B872" s="20"/>
      <c r="C872" s="20"/>
      <c r="D872" s="20"/>
      <c r="E872" s="20"/>
      <c r="F872" s="48"/>
      <c r="G872" s="49"/>
      <c r="H872" s="50"/>
    </row>
    <row r="873" spans="1:8">
      <c r="A873" s="20"/>
      <c r="B873" s="20"/>
      <c r="C873" s="20"/>
      <c r="D873" s="20"/>
      <c r="E873" s="20"/>
      <c r="F873" s="48"/>
      <c r="G873" s="49"/>
      <c r="H873" s="50"/>
    </row>
    <row r="874" spans="1:8">
      <c r="A874" s="20"/>
      <c r="B874" s="20"/>
      <c r="C874" s="20"/>
      <c r="D874" s="20"/>
      <c r="E874" s="20"/>
      <c r="F874" s="48"/>
      <c r="G874" s="49"/>
      <c r="H874" s="50"/>
    </row>
    <row r="875" spans="1:8">
      <c r="A875" s="20"/>
      <c r="B875" s="20"/>
      <c r="C875" s="20"/>
      <c r="D875" s="20"/>
      <c r="E875" s="20"/>
      <c r="F875" s="48"/>
      <c r="G875" s="49"/>
      <c r="H875" s="50"/>
    </row>
    <row r="876" spans="1:8">
      <c r="A876" s="20"/>
      <c r="B876" s="20"/>
      <c r="C876" s="20"/>
      <c r="D876" s="20"/>
      <c r="E876" s="20"/>
      <c r="F876" s="48"/>
      <c r="G876" s="49"/>
      <c r="H876" s="50"/>
    </row>
    <row r="877" spans="1:8">
      <c r="A877" s="20"/>
      <c r="B877" s="20"/>
      <c r="C877" s="20"/>
      <c r="D877" s="20"/>
      <c r="E877" s="20"/>
      <c r="F877" s="48"/>
      <c r="G877" s="49"/>
      <c r="H877" s="50"/>
    </row>
    <row r="878" spans="1:8">
      <c r="A878" s="20"/>
      <c r="B878" s="20"/>
      <c r="C878" s="20"/>
      <c r="D878" s="20"/>
      <c r="E878" s="20"/>
      <c r="F878" s="48"/>
      <c r="G878" s="49"/>
      <c r="H878" s="50"/>
    </row>
    <row r="879" spans="1:8">
      <c r="A879" s="20"/>
      <c r="B879" s="20"/>
      <c r="C879" s="20"/>
      <c r="D879" s="20"/>
      <c r="E879" s="20"/>
      <c r="F879" s="48"/>
      <c r="G879" s="49"/>
      <c r="H879" s="50"/>
    </row>
    <row r="880" spans="1:8">
      <c r="A880" s="20"/>
      <c r="B880" s="20"/>
      <c r="C880" s="20"/>
      <c r="D880" s="20"/>
      <c r="E880" s="20"/>
      <c r="F880" s="48"/>
      <c r="G880" s="49"/>
      <c r="H880" s="50"/>
    </row>
    <row r="881" spans="1:8">
      <c r="A881" s="20"/>
      <c r="B881" s="20"/>
      <c r="C881" s="20"/>
      <c r="D881" s="20"/>
      <c r="E881" s="20"/>
      <c r="F881" s="48"/>
      <c r="G881" s="49"/>
      <c r="H881" s="50"/>
    </row>
    <row r="882" spans="1:8">
      <c r="A882" s="20"/>
      <c r="B882" s="20"/>
      <c r="C882" s="20"/>
      <c r="D882" s="20"/>
      <c r="E882" s="20"/>
      <c r="F882" s="48"/>
      <c r="G882" s="49"/>
      <c r="H882" s="50"/>
    </row>
    <row r="883" spans="1:8">
      <c r="A883" s="20"/>
      <c r="B883" s="20"/>
      <c r="C883" s="20"/>
      <c r="D883" s="20"/>
      <c r="E883" s="20"/>
      <c r="F883" s="48"/>
      <c r="G883" s="49"/>
      <c r="H883" s="50"/>
    </row>
    <row r="884" spans="1:8">
      <c r="A884" s="20"/>
      <c r="B884" s="20"/>
      <c r="C884" s="20"/>
      <c r="D884" s="20"/>
      <c r="E884" s="20"/>
      <c r="F884" s="48"/>
      <c r="G884" s="49"/>
      <c r="H884" s="50"/>
    </row>
    <row r="885" spans="1:8">
      <c r="A885" s="20"/>
      <c r="B885" s="20"/>
      <c r="C885" s="20"/>
      <c r="D885" s="20"/>
      <c r="E885" s="20"/>
      <c r="F885" s="48"/>
      <c r="G885" s="49"/>
      <c r="H885" s="50"/>
    </row>
    <row r="886" spans="1:8">
      <c r="A886" s="20"/>
      <c r="B886" s="20"/>
      <c r="C886" s="20"/>
      <c r="D886" s="20"/>
      <c r="E886" s="20"/>
      <c r="F886" s="48"/>
      <c r="G886" s="49"/>
      <c r="H886" s="50"/>
    </row>
    <row r="887" spans="1:8">
      <c r="A887" s="20"/>
      <c r="B887" s="20"/>
      <c r="C887" s="20"/>
      <c r="D887" s="20"/>
      <c r="E887" s="20"/>
      <c r="F887" s="48"/>
      <c r="G887" s="49"/>
      <c r="H887" s="50"/>
    </row>
    <row r="888" spans="1:8">
      <c r="A888" s="20"/>
      <c r="B888" s="20"/>
      <c r="C888" s="20"/>
      <c r="D888" s="20"/>
      <c r="E888" s="20"/>
      <c r="F888" s="48"/>
      <c r="G888" s="49"/>
      <c r="H888" s="50"/>
    </row>
    <row r="889" spans="1:8">
      <c r="A889" s="20"/>
      <c r="B889" s="20"/>
      <c r="C889" s="20"/>
      <c r="D889" s="20"/>
      <c r="E889" s="20"/>
      <c r="F889" s="48"/>
      <c r="G889" s="49"/>
      <c r="H889" s="50"/>
    </row>
    <row r="890" spans="1:8">
      <c r="A890" s="20"/>
      <c r="B890" s="20"/>
      <c r="C890" s="20"/>
      <c r="D890" s="20"/>
      <c r="E890" s="20"/>
      <c r="F890" s="48"/>
      <c r="G890" s="49"/>
      <c r="H890" s="50"/>
    </row>
    <row r="891" spans="1:8">
      <c r="A891" s="20"/>
      <c r="B891" s="20"/>
      <c r="C891" s="20"/>
      <c r="D891" s="20"/>
      <c r="E891" s="20"/>
      <c r="F891" s="48"/>
      <c r="G891" s="49"/>
      <c r="H891" s="50"/>
    </row>
    <row r="892" spans="1:8">
      <c r="A892" s="20"/>
      <c r="B892" s="20"/>
      <c r="C892" s="20"/>
      <c r="D892" s="20"/>
      <c r="E892" s="20"/>
      <c r="F892" s="48"/>
      <c r="G892" s="49"/>
      <c r="H892" s="50"/>
    </row>
    <row r="893" spans="1:8">
      <c r="A893" s="20"/>
      <c r="B893" s="20"/>
      <c r="C893" s="20"/>
      <c r="D893" s="20"/>
      <c r="E893" s="20"/>
      <c r="F893" s="48"/>
      <c r="G893" s="49"/>
      <c r="H893" s="50"/>
    </row>
    <row r="894" spans="1:8">
      <c r="A894" s="20"/>
      <c r="B894" s="20"/>
      <c r="C894" s="20"/>
      <c r="D894" s="20"/>
      <c r="E894" s="20"/>
      <c r="F894" s="48"/>
      <c r="G894" s="49"/>
      <c r="H894" s="50"/>
    </row>
    <row r="895" spans="1:8">
      <c r="A895" s="20"/>
      <c r="B895" s="20"/>
      <c r="C895" s="20"/>
      <c r="D895" s="20"/>
      <c r="E895" s="20"/>
      <c r="F895" s="48"/>
      <c r="G895" s="49"/>
      <c r="H895" s="50"/>
    </row>
    <row r="896" spans="1:8">
      <c r="A896" s="20"/>
      <c r="B896" s="20"/>
      <c r="C896" s="20"/>
      <c r="D896" s="20"/>
      <c r="E896" s="20"/>
      <c r="F896" s="48"/>
      <c r="G896" s="49"/>
      <c r="H896" s="50"/>
    </row>
    <row r="897" spans="1:8">
      <c r="A897" s="20"/>
      <c r="B897" s="20"/>
      <c r="C897" s="20"/>
      <c r="D897" s="20"/>
      <c r="E897" s="20"/>
      <c r="F897" s="48"/>
      <c r="G897" s="49"/>
      <c r="H897" s="50"/>
    </row>
    <row r="898" spans="1:8">
      <c r="A898" s="20"/>
      <c r="B898" s="20"/>
      <c r="C898" s="20"/>
      <c r="D898" s="20"/>
      <c r="E898" s="20"/>
      <c r="F898" s="48"/>
      <c r="G898" s="49"/>
      <c r="H898" s="50"/>
    </row>
    <row r="899" spans="1:8">
      <c r="A899" s="20"/>
      <c r="B899" s="20"/>
      <c r="C899" s="20"/>
      <c r="D899" s="20"/>
      <c r="E899" s="20"/>
      <c r="F899" s="48"/>
      <c r="G899" s="49"/>
      <c r="H899" s="50"/>
    </row>
    <row r="900" spans="1:8">
      <c r="A900" s="20"/>
      <c r="B900" s="20"/>
      <c r="C900" s="20"/>
      <c r="D900" s="20"/>
      <c r="E900" s="20"/>
      <c r="F900" s="48"/>
      <c r="G900" s="49"/>
      <c r="H900" s="50"/>
    </row>
    <row r="901" spans="1:8">
      <c r="A901" s="20"/>
      <c r="B901" s="20"/>
      <c r="C901" s="20"/>
      <c r="D901" s="20"/>
      <c r="E901" s="20"/>
      <c r="F901" s="48"/>
      <c r="G901" s="49"/>
      <c r="H901" s="50"/>
    </row>
    <row r="902" spans="1:8">
      <c r="A902" s="20"/>
      <c r="B902" s="20"/>
      <c r="C902" s="20"/>
      <c r="D902" s="20"/>
      <c r="E902" s="20"/>
      <c r="F902" s="48"/>
      <c r="G902" s="49"/>
      <c r="H902" s="50"/>
    </row>
    <row r="903" spans="1:8">
      <c r="A903" s="20"/>
      <c r="B903" s="20"/>
      <c r="C903" s="20"/>
      <c r="D903" s="20"/>
      <c r="E903" s="20"/>
      <c r="F903" s="48"/>
      <c r="G903" s="49"/>
      <c r="H903" s="50"/>
    </row>
    <row r="904" spans="1:8">
      <c r="A904" s="20"/>
      <c r="B904" s="20"/>
      <c r="C904" s="20"/>
      <c r="D904" s="20"/>
      <c r="E904" s="20"/>
      <c r="F904" s="48"/>
      <c r="G904" s="49"/>
      <c r="H904" s="50"/>
    </row>
    <row r="905" spans="1:8">
      <c r="A905" s="20"/>
      <c r="B905" s="20"/>
      <c r="C905" s="20"/>
      <c r="D905" s="20"/>
      <c r="E905" s="20"/>
      <c r="F905" s="48"/>
      <c r="G905" s="49"/>
      <c r="H905" s="50"/>
    </row>
    <row r="906" spans="1:8">
      <c r="A906" s="20"/>
      <c r="B906" s="20"/>
      <c r="C906" s="20"/>
      <c r="D906" s="20"/>
      <c r="E906" s="20"/>
      <c r="F906" s="48"/>
      <c r="G906" s="49"/>
      <c r="H906" s="50"/>
    </row>
    <row r="907" spans="1:8">
      <c r="A907" s="20"/>
      <c r="B907" s="20"/>
      <c r="C907" s="20"/>
      <c r="D907" s="20"/>
      <c r="E907" s="20"/>
      <c r="F907" s="48"/>
      <c r="G907" s="49"/>
      <c r="H907" s="50"/>
    </row>
    <row r="908" spans="1:8">
      <c r="A908" s="20"/>
      <c r="B908" s="20"/>
      <c r="C908" s="20"/>
      <c r="D908" s="20"/>
      <c r="E908" s="20"/>
      <c r="F908" s="48"/>
      <c r="G908" s="49"/>
      <c r="H908" s="50"/>
    </row>
    <row r="909" spans="1:8">
      <c r="A909" s="20"/>
      <c r="B909" s="20"/>
      <c r="C909" s="20"/>
      <c r="D909" s="20"/>
      <c r="E909" s="20"/>
      <c r="F909" s="48"/>
      <c r="G909" s="49"/>
      <c r="H909" s="50"/>
    </row>
    <row r="910" spans="1:8">
      <c r="A910" s="20"/>
      <c r="B910" s="20"/>
      <c r="C910" s="20"/>
      <c r="D910" s="20"/>
      <c r="E910" s="20"/>
      <c r="F910" s="48"/>
      <c r="G910" s="49"/>
      <c r="H910" s="50"/>
    </row>
    <row r="911" spans="1:8">
      <c r="A911" s="20"/>
      <c r="B911" s="20"/>
      <c r="C911" s="20"/>
      <c r="D911" s="20"/>
      <c r="E911" s="20"/>
      <c r="F911" s="48"/>
      <c r="G911" s="49"/>
      <c r="H911" s="50"/>
    </row>
    <row r="912" spans="1:8">
      <c r="A912" s="20"/>
      <c r="B912" s="20"/>
      <c r="C912" s="20"/>
      <c r="D912" s="20"/>
      <c r="E912" s="20"/>
      <c r="F912" s="48"/>
      <c r="G912" s="49"/>
      <c r="H912" s="50"/>
    </row>
    <row r="913" spans="1:8">
      <c r="A913" s="20"/>
      <c r="B913" s="20"/>
      <c r="C913" s="20"/>
      <c r="D913" s="20"/>
      <c r="E913" s="20"/>
      <c r="F913" s="48"/>
      <c r="G913" s="49"/>
      <c r="H913" s="50"/>
    </row>
    <row r="914" spans="1:8">
      <c r="A914" s="20"/>
      <c r="B914" s="20"/>
      <c r="C914" s="20"/>
      <c r="D914" s="20"/>
      <c r="E914" s="20"/>
      <c r="F914" s="48"/>
      <c r="G914" s="49"/>
      <c r="H914" s="50"/>
    </row>
    <row r="915" spans="1:8">
      <c r="A915" s="20"/>
      <c r="B915" s="20"/>
      <c r="C915" s="20"/>
      <c r="D915" s="20"/>
      <c r="E915" s="20"/>
      <c r="F915" s="48"/>
      <c r="G915" s="49"/>
      <c r="H915" s="50"/>
    </row>
    <row r="916" spans="1:8">
      <c r="A916" s="20"/>
      <c r="B916" s="20"/>
      <c r="C916" s="20"/>
      <c r="D916" s="20"/>
      <c r="E916" s="20"/>
      <c r="F916" s="48"/>
      <c r="G916" s="49"/>
      <c r="H916" s="50"/>
    </row>
    <row r="917" spans="1:8">
      <c r="A917" s="20"/>
      <c r="B917" s="20"/>
      <c r="C917" s="20"/>
      <c r="D917" s="20"/>
      <c r="E917" s="20"/>
      <c r="F917" s="48"/>
      <c r="G917" s="49"/>
      <c r="H917" s="50"/>
    </row>
    <row r="918" spans="1:8">
      <c r="A918" s="20"/>
      <c r="B918" s="20"/>
      <c r="C918" s="20"/>
      <c r="D918" s="20"/>
      <c r="E918" s="20"/>
      <c r="F918" s="48"/>
      <c r="G918" s="49"/>
      <c r="H918" s="50"/>
    </row>
    <row r="919" spans="1:8">
      <c r="A919" s="20"/>
      <c r="B919" s="20"/>
      <c r="C919" s="20"/>
      <c r="D919" s="20"/>
      <c r="E919" s="20"/>
      <c r="F919" s="48"/>
      <c r="G919" s="49"/>
      <c r="H919" s="50"/>
    </row>
    <row r="920" spans="1:8">
      <c r="A920" s="20"/>
      <c r="B920" s="20"/>
      <c r="C920" s="20"/>
      <c r="D920" s="20"/>
      <c r="E920" s="20"/>
      <c r="F920" s="48"/>
      <c r="G920" s="49"/>
      <c r="H920" s="50"/>
    </row>
    <row r="921" spans="1:8">
      <c r="A921" s="20"/>
      <c r="B921" s="20"/>
      <c r="C921" s="20"/>
      <c r="D921" s="20"/>
      <c r="E921" s="20"/>
      <c r="F921" s="48"/>
      <c r="G921" s="49"/>
      <c r="H921" s="50"/>
    </row>
    <row r="922" spans="1:8">
      <c r="A922" s="20"/>
      <c r="B922" s="20"/>
      <c r="C922" s="20"/>
      <c r="D922" s="20"/>
      <c r="E922" s="20"/>
      <c r="F922" s="48"/>
      <c r="G922" s="49"/>
      <c r="H922" s="50"/>
    </row>
    <row r="923" spans="1:8">
      <c r="A923" s="20"/>
      <c r="B923" s="20"/>
      <c r="C923" s="20"/>
      <c r="D923" s="20"/>
      <c r="E923" s="20"/>
      <c r="F923" s="48"/>
      <c r="G923" s="49"/>
      <c r="H923" s="50"/>
    </row>
    <row r="924" spans="1:8">
      <c r="A924" s="20"/>
      <c r="B924" s="20"/>
      <c r="C924" s="20"/>
      <c r="D924" s="20"/>
      <c r="E924" s="20"/>
      <c r="F924" s="48"/>
      <c r="G924" s="49"/>
      <c r="H924" s="50"/>
    </row>
    <row r="925" spans="1:8">
      <c r="A925" s="20"/>
      <c r="B925" s="20"/>
      <c r="C925" s="20"/>
      <c r="D925" s="20"/>
      <c r="E925" s="20"/>
      <c r="F925" s="48"/>
      <c r="G925" s="49"/>
      <c r="H925" s="50"/>
    </row>
    <row r="926" spans="1:8">
      <c r="A926" s="20"/>
      <c r="B926" s="20"/>
      <c r="C926" s="20"/>
      <c r="D926" s="20"/>
      <c r="E926" s="20"/>
      <c r="F926" s="48"/>
      <c r="G926" s="49"/>
      <c r="H926" s="50"/>
    </row>
    <row r="927" spans="1:8">
      <c r="A927" s="20"/>
      <c r="B927" s="20"/>
      <c r="C927" s="20"/>
      <c r="D927" s="20"/>
      <c r="E927" s="20"/>
      <c r="F927" s="48"/>
      <c r="G927" s="49"/>
      <c r="H927" s="50"/>
    </row>
    <row r="928" spans="1:8">
      <c r="A928" s="20"/>
      <c r="B928" s="20"/>
      <c r="C928" s="20"/>
      <c r="D928" s="20"/>
      <c r="E928" s="20"/>
      <c r="F928" s="48"/>
      <c r="G928" s="49"/>
      <c r="H928" s="50"/>
    </row>
    <row r="929" spans="1:8">
      <c r="A929" s="20"/>
      <c r="B929" s="20"/>
      <c r="C929" s="20"/>
      <c r="D929" s="20"/>
      <c r="E929" s="20"/>
      <c r="F929" s="48"/>
      <c r="G929" s="49"/>
      <c r="H929" s="50"/>
    </row>
    <row r="930" spans="1:8">
      <c r="A930" s="20"/>
      <c r="B930" s="20"/>
      <c r="C930" s="20"/>
      <c r="D930" s="20"/>
      <c r="E930" s="20"/>
      <c r="F930" s="48"/>
      <c r="G930" s="49"/>
      <c r="H930" s="50"/>
    </row>
    <row r="931" spans="1:8">
      <c r="A931" s="20"/>
      <c r="B931" s="20"/>
      <c r="C931" s="20"/>
      <c r="D931" s="20"/>
      <c r="E931" s="20"/>
      <c r="F931" s="48"/>
      <c r="G931" s="49"/>
      <c r="H931" s="50"/>
    </row>
    <row r="932" spans="1:8">
      <c r="A932" s="20"/>
      <c r="B932" s="20"/>
      <c r="C932" s="20"/>
      <c r="D932" s="20"/>
      <c r="E932" s="20"/>
      <c r="F932" s="48"/>
      <c r="G932" s="49"/>
      <c r="H932" s="50"/>
    </row>
    <row r="933" spans="1:8">
      <c r="A933" s="20"/>
      <c r="B933" s="20"/>
      <c r="C933" s="20"/>
      <c r="D933" s="20"/>
      <c r="E933" s="20"/>
      <c r="F933" s="48"/>
      <c r="G933" s="49"/>
      <c r="H933" s="50"/>
    </row>
    <row r="934" spans="1:8">
      <c r="A934" s="20"/>
      <c r="B934" s="20"/>
      <c r="C934" s="20"/>
      <c r="D934" s="20"/>
      <c r="E934" s="20"/>
      <c r="F934" s="48"/>
      <c r="G934" s="49"/>
      <c r="H934" s="50"/>
    </row>
    <row r="935" spans="1:8">
      <c r="A935" s="20"/>
      <c r="B935" s="20"/>
      <c r="C935" s="20"/>
      <c r="D935" s="20"/>
      <c r="E935" s="20"/>
      <c r="F935" s="48"/>
      <c r="G935" s="49"/>
      <c r="H935" s="50"/>
    </row>
    <row r="936" spans="1:8">
      <c r="A936" s="20"/>
      <c r="B936" s="20"/>
      <c r="C936" s="20"/>
      <c r="D936" s="20"/>
      <c r="E936" s="20"/>
      <c r="F936" s="48"/>
      <c r="G936" s="49"/>
      <c r="H936" s="50"/>
    </row>
    <row r="937" spans="1:8">
      <c r="A937" s="20"/>
      <c r="B937" s="20"/>
      <c r="C937" s="20"/>
      <c r="D937" s="20"/>
      <c r="E937" s="20"/>
      <c r="F937" s="48"/>
      <c r="G937" s="49"/>
      <c r="H937" s="50"/>
    </row>
    <row r="938" spans="1:8">
      <c r="A938" s="20"/>
      <c r="B938" s="20"/>
      <c r="C938" s="20"/>
      <c r="D938" s="20"/>
      <c r="E938" s="20"/>
      <c r="F938" s="48"/>
      <c r="G938" s="49"/>
      <c r="H938" s="50"/>
    </row>
    <row r="939" spans="1:8">
      <c r="A939" s="20"/>
      <c r="B939" s="20"/>
      <c r="C939" s="20"/>
      <c r="D939" s="20"/>
      <c r="E939" s="20"/>
      <c r="F939" s="48"/>
      <c r="G939" s="49"/>
      <c r="H939" s="50"/>
    </row>
    <row r="940" spans="1:8">
      <c r="A940" s="20"/>
      <c r="B940" s="20"/>
      <c r="C940" s="20"/>
      <c r="D940" s="20"/>
      <c r="E940" s="20"/>
      <c r="F940" s="48"/>
      <c r="G940" s="49"/>
      <c r="H940" s="50"/>
    </row>
    <row r="941" spans="1:8">
      <c r="A941" s="20"/>
      <c r="B941" s="20"/>
      <c r="C941" s="20"/>
      <c r="D941" s="20"/>
      <c r="E941" s="20"/>
      <c r="F941" s="48"/>
      <c r="G941" s="49"/>
      <c r="H941" s="50"/>
    </row>
    <row r="942" spans="1:8">
      <c r="A942" s="20"/>
      <c r="B942" s="20"/>
      <c r="C942" s="20"/>
      <c r="D942" s="20"/>
      <c r="E942" s="20"/>
      <c r="F942" s="48"/>
      <c r="G942" s="49"/>
      <c r="H942" s="50"/>
    </row>
    <row r="943" spans="1:8">
      <c r="A943" s="20"/>
      <c r="B943" s="20"/>
      <c r="C943" s="20"/>
      <c r="D943" s="20"/>
      <c r="E943" s="20"/>
      <c r="F943" s="48"/>
      <c r="G943" s="49"/>
      <c r="H943" s="50"/>
    </row>
    <row r="944" spans="1:8">
      <c r="A944" s="20"/>
      <c r="B944" s="20"/>
      <c r="C944" s="20"/>
      <c r="D944" s="20"/>
      <c r="E944" s="20"/>
      <c r="F944" s="48"/>
      <c r="G944" s="49"/>
      <c r="H944" s="50"/>
    </row>
    <row r="945" spans="1:8">
      <c r="A945" s="20"/>
      <c r="B945" s="20"/>
      <c r="C945" s="20"/>
      <c r="D945" s="20"/>
      <c r="E945" s="20"/>
      <c r="F945" s="48"/>
      <c r="G945" s="49"/>
      <c r="H945" s="50"/>
    </row>
    <row r="946" spans="1:8">
      <c r="A946" s="20"/>
      <c r="B946" s="20"/>
      <c r="C946" s="20"/>
      <c r="D946" s="20"/>
      <c r="E946" s="20"/>
      <c r="F946" s="48"/>
      <c r="G946" s="49"/>
      <c r="H946" s="50"/>
    </row>
    <row r="947" spans="1:8">
      <c r="A947" s="20"/>
      <c r="B947" s="20"/>
      <c r="C947" s="20"/>
      <c r="D947" s="20"/>
      <c r="E947" s="20"/>
      <c r="F947" s="48"/>
      <c r="G947" s="49"/>
      <c r="H947" s="50"/>
    </row>
    <row r="948" spans="1:8">
      <c r="A948" s="20"/>
      <c r="B948" s="20"/>
      <c r="C948" s="20"/>
      <c r="D948" s="20"/>
      <c r="E948" s="20"/>
      <c r="F948" s="48"/>
      <c r="G948" s="49"/>
      <c r="H948" s="50"/>
    </row>
    <row r="949" spans="1:8">
      <c r="A949" s="20"/>
      <c r="B949" s="20"/>
      <c r="C949" s="20"/>
      <c r="D949" s="20"/>
      <c r="E949" s="20"/>
      <c r="F949" s="48"/>
      <c r="G949" s="49"/>
      <c r="H949" s="50"/>
    </row>
    <row r="950" spans="1:8">
      <c r="A950" s="20"/>
      <c r="B950" s="20"/>
      <c r="C950" s="20"/>
      <c r="D950" s="20"/>
      <c r="E950" s="20"/>
      <c r="F950" s="48"/>
      <c r="G950" s="49"/>
      <c r="H950" s="50"/>
    </row>
    <row r="951" spans="1:8">
      <c r="A951" s="20"/>
      <c r="B951" s="20"/>
      <c r="C951" s="20"/>
      <c r="D951" s="20"/>
      <c r="E951" s="20"/>
      <c r="F951" s="48"/>
      <c r="G951" s="49"/>
      <c r="H951" s="50"/>
    </row>
    <row r="952" spans="1:8">
      <c r="A952" s="20"/>
      <c r="B952" s="20"/>
      <c r="C952" s="20"/>
      <c r="D952" s="20"/>
      <c r="E952" s="20"/>
      <c r="F952" s="48"/>
      <c r="G952" s="49"/>
      <c r="H952" s="50"/>
    </row>
    <row r="953" spans="1:8">
      <c r="A953" s="20"/>
      <c r="B953" s="20"/>
      <c r="C953" s="20"/>
      <c r="D953" s="20"/>
      <c r="E953" s="20"/>
      <c r="F953" s="48"/>
      <c r="G953" s="49"/>
      <c r="H953" s="50"/>
    </row>
    <row r="954" spans="1:8">
      <c r="A954" s="20"/>
      <c r="B954" s="20"/>
      <c r="C954" s="20"/>
      <c r="D954" s="20"/>
      <c r="E954" s="20"/>
      <c r="F954" s="48"/>
      <c r="G954" s="49"/>
      <c r="H954" s="50"/>
    </row>
    <row r="955" spans="1:8">
      <c r="A955" s="20"/>
      <c r="B955" s="20"/>
      <c r="C955" s="20"/>
      <c r="D955" s="20"/>
      <c r="E955" s="20"/>
      <c r="F955" s="48"/>
      <c r="G955" s="49"/>
      <c r="H955" s="50"/>
    </row>
    <row r="956" spans="1:8">
      <c r="A956" s="20"/>
      <c r="B956" s="20"/>
      <c r="C956" s="20"/>
      <c r="D956" s="20"/>
      <c r="E956" s="20"/>
      <c r="F956" s="48"/>
      <c r="G956" s="49"/>
      <c r="H956" s="50"/>
    </row>
    <row r="957" spans="1:8">
      <c r="A957" s="20"/>
      <c r="B957" s="20"/>
      <c r="C957" s="20"/>
      <c r="D957" s="20"/>
      <c r="E957" s="20"/>
      <c r="F957" s="48"/>
      <c r="G957" s="49"/>
      <c r="H957" s="50"/>
    </row>
    <row r="958" spans="1:8">
      <c r="A958" s="20"/>
      <c r="B958" s="20"/>
      <c r="C958" s="20"/>
      <c r="D958" s="20"/>
      <c r="E958" s="20"/>
      <c r="F958" s="48"/>
      <c r="G958" s="49"/>
      <c r="H958" s="50"/>
    </row>
    <row r="959" spans="1:8">
      <c r="A959" s="20"/>
      <c r="B959" s="20"/>
      <c r="C959" s="20"/>
      <c r="D959" s="20"/>
      <c r="E959" s="20"/>
      <c r="F959" s="48"/>
      <c r="G959" s="49"/>
      <c r="H959" s="50"/>
    </row>
    <row r="960" spans="1:8">
      <c r="A960" s="20"/>
      <c r="B960" s="20"/>
      <c r="C960" s="20"/>
      <c r="D960" s="20"/>
      <c r="E960" s="20"/>
      <c r="F960" s="48"/>
      <c r="G960" s="49"/>
      <c r="H960" s="50"/>
    </row>
    <row r="961" spans="1:8">
      <c r="A961" s="20"/>
      <c r="B961" s="20"/>
      <c r="C961" s="20"/>
      <c r="D961" s="20"/>
      <c r="E961" s="20"/>
      <c r="F961" s="48"/>
      <c r="G961" s="49"/>
      <c r="H961" s="50"/>
    </row>
    <row r="962" spans="1:8">
      <c r="A962" s="20"/>
      <c r="B962" s="20"/>
      <c r="C962" s="20"/>
      <c r="D962" s="20"/>
      <c r="E962" s="20"/>
      <c r="F962" s="48"/>
      <c r="G962" s="49"/>
      <c r="H962" s="50"/>
    </row>
    <row r="963" spans="1:8">
      <c r="A963" s="20"/>
      <c r="B963" s="20"/>
      <c r="C963" s="20"/>
      <c r="D963" s="20"/>
      <c r="E963" s="20"/>
      <c r="F963" s="48"/>
      <c r="G963" s="49"/>
      <c r="H963" s="50"/>
    </row>
    <row r="964" spans="1:8">
      <c r="A964" s="20"/>
      <c r="B964" s="20"/>
      <c r="C964" s="20"/>
      <c r="D964" s="20"/>
      <c r="E964" s="20"/>
      <c r="F964" s="48"/>
      <c r="G964" s="49"/>
      <c r="H964" s="50"/>
    </row>
    <row r="965" spans="1:8">
      <c r="A965" s="20"/>
      <c r="B965" s="20"/>
      <c r="C965" s="20"/>
      <c r="D965" s="20"/>
      <c r="E965" s="20"/>
      <c r="F965" s="48"/>
      <c r="G965" s="49"/>
      <c r="H965" s="50"/>
    </row>
    <row r="966" spans="1:8">
      <c r="A966" s="20"/>
      <c r="B966" s="20"/>
      <c r="C966" s="20"/>
      <c r="D966" s="20"/>
      <c r="E966" s="20"/>
      <c r="F966" s="48"/>
      <c r="G966" s="49"/>
      <c r="H966" s="50"/>
    </row>
    <row r="967" spans="1:8">
      <c r="A967" s="20"/>
      <c r="B967" s="20"/>
      <c r="C967" s="20"/>
      <c r="D967" s="20"/>
      <c r="E967" s="20"/>
      <c r="F967" s="48"/>
      <c r="G967" s="49"/>
      <c r="H967" s="50"/>
    </row>
    <row r="968" spans="1:8">
      <c r="A968" s="20"/>
      <c r="B968" s="20"/>
      <c r="C968" s="20"/>
      <c r="D968" s="20"/>
      <c r="E968" s="20"/>
      <c r="F968" s="48"/>
      <c r="G968" s="49"/>
      <c r="H968" s="50"/>
    </row>
    <row r="969" spans="1:8">
      <c r="A969" s="20"/>
      <c r="B969" s="20"/>
      <c r="C969" s="20"/>
      <c r="D969" s="20"/>
      <c r="E969" s="20"/>
      <c r="F969" s="48"/>
      <c r="G969" s="49"/>
      <c r="H969" s="50"/>
    </row>
    <row r="970" spans="1:8">
      <c r="A970" s="20"/>
      <c r="B970" s="20"/>
      <c r="C970" s="20"/>
      <c r="D970" s="20"/>
      <c r="E970" s="20"/>
      <c r="F970" s="48"/>
      <c r="G970" s="49"/>
      <c r="H970" s="50"/>
    </row>
    <row r="971" spans="1:8">
      <c r="A971" s="20"/>
      <c r="B971" s="20"/>
      <c r="C971" s="20"/>
      <c r="D971" s="20"/>
      <c r="E971" s="20"/>
      <c r="F971" s="48"/>
      <c r="G971" s="49"/>
      <c r="H971" s="50"/>
    </row>
    <row r="972" spans="1:8">
      <c r="A972" s="20"/>
      <c r="B972" s="20"/>
      <c r="C972" s="20"/>
      <c r="D972" s="20"/>
      <c r="E972" s="20"/>
      <c r="F972" s="48"/>
      <c r="G972" s="49"/>
      <c r="H972" s="50"/>
    </row>
    <row r="973" spans="1:8">
      <c r="A973" s="20"/>
      <c r="B973" s="20"/>
      <c r="C973" s="20"/>
      <c r="D973" s="20"/>
      <c r="E973" s="20"/>
      <c r="F973" s="48"/>
      <c r="G973" s="49"/>
      <c r="H973" s="50"/>
    </row>
    <row r="974" spans="1:8">
      <c r="A974" s="20"/>
      <c r="B974" s="20"/>
      <c r="C974" s="20"/>
      <c r="D974" s="20"/>
      <c r="E974" s="20"/>
      <c r="F974" s="48"/>
      <c r="G974" s="49"/>
      <c r="H974" s="50"/>
    </row>
    <row r="975" spans="1:8">
      <c r="A975" s="20"/>
      <c r="B975" s="20"/>
      <c r="C975" s="20"/>
      <c r="D975" s="20"/>
      <c r="E975" s="20"/>
      <c r="F975" s="48"/>
      <c r="G975" s="49"/>
      <c r="H975" s="50"/>
    </row>
    <row r="976" spans="1:8">
      <c r="A976" s="20"/>
      <c r="B976" s="20"/>
      <c r="C976" s="20"/>
      <c r="D976" s="20"/>
      <c r="E976" s="20"/>
      <c r="F976" s="48"/>
      <c r="G976" s="49"/>
      <c r="H976" s="50"/>
    </row>
    <row r="977" spans="1:8">
      <c r="A977" s="20"/>
      <c r="B977" s="20"/>
      <c r="C977" s="20"/>
      <c r="D977" s="20"/>
      <c r="E977" s="20"/>
      <c r="F977" s="48"/>
      <c r="G977" s="49"/>
      <c r="H977" s="50"/>
    </row>
    <row r="978" spans="1:8">
      <c r="A978" s="20"/>
      <c r="B978" s="20"/>
      <c r="C978" s="20"/>
      <c r="D978" s="20"/>
      <c r="E978" s="20"/>
      <c r="F978" s="48"/>
      <c r="G978" s="49"/>
      <c r="H978" s="50"/>
    </row>
    <row r="979" spans="1:8">
      <c r="A979" s="20"/>
      <c r="B979" s="20"/>
      <c r="C979" s="20"/>
      <c r="D979" s="20"/>
      <c r="E979" s="20"/>
      <c r="F979" s="48"/>
      <c r="G979" s="49"/>
      <c r="H979" s="50"/>
    </row>
    <row r="980" spans="1:8">
      <c r="A980" s="20"/>
      <c r="B980" s="20"/>
      <c r="C980" s="20"/>
      <c r="D980" s="20"/>
      <c r="E980" s="20"/>
      <c r="F980" s="48"/>
      <c r="G980" s="49"/>
      <c r="H980" s="50"/>
    </row>
    <row r="981" spans="1:8">
      <c r="A981" s="20"/>
      <c r="B981" s="20"/>
      <c r="C981" s="20"/>
      <c r="D981" s="20"/>
      <c r="E981" s="20"/>
      <c r="F981" s="48"/>
      <c r="G981" s="49"/>
      <c r="H981" s="50"/>
    </row>
    <row r="982" spans="1:8">
      <c r="A982" s="20"/>
      <c r="B982" s="20"/>
      <c r="C982" s="20"/>
      <c r="D982" s="20"/>
      <c r="E982" s="20"/>
      <c r="F982" s="48"/>
      <c r="G982" s="49"/>
      <c r="H982" s="50"/>
    </row>
    <row r="983" spans="1:8">
      <c r="A983" s="20"/>
      <c r="B983" s="20"/>
      <c r="C983" s="20"/>
      <c r="D983" s="20"/>
      <c r="E983" s="20"/>
      <c r="F983" s="48"/>
      <c r="G983" s="49"/>
      <c r="H983" s="50"/>
    </row>
    <row r="984" spans="1:8">
      <c r="A984" s="20"/>
      <c r="B984" s="20"/>
      <c r="C984" s="20"/>
      <c r="D984" s="20"/>
      <c r="E984" s="20"/>
      <c r="F984" s="48"/>
      <c r="G984" s="49"/>
      <c r="H984" s="50"/>
    </row>
    <row r="985" spans="1:8">
      <c r="A985" s="20"/>
      <c r="B985" s="20"/>
      <c r="C985" s="20"/>
      <c r="D985" s="20"/>
      <c r="E985" s="20"/>
      <c r="F985" s="48"/>
      <c r="G985" s="49"/>
      <c r="H985" s="50"/>
    </row>
    <row r="986" spans="1:8">
      <c r="A986" s="20"/>
      <c r="B986" s="20"/>
      <c r="C986" s="20"/>
      <c r="D986" s="20"/>
      <c r="E986" s="20"/>
      <c r="F986" s="48"/>
      <c r="G986" s="49"/>
      <c r="H986" s="50"/>
    </row>
    <row r="987" spans="1:8">
      <c r="A987" s="20"/>
      <c r="B987" s="20"/>
      <c r="C987" s="20"/>
      <c r="D987" s="20"/>
      <c r="E987" s="20"/>
      <c r="F987" s="48"/>
      <c r="G987" s="49"/>
      <c r="H987" s="50"/>
    </row>
    <row r="988" spans="1:8">
      <c r="A988" s="20"/>
      <c r="B988" s="20"/>
      <c r="C988" s="20"/>
      <c r="D988" s="20"/>
      <c r="E988" s="20"/>
      <c r="F988" s="48"/>
      <c r="G988" s="49"/>
      <c r="H988" s="50"/>
    </row>
    <row r="989" spans="1:8">
      <c r="A989" s="20"/>
      <c r="B989" s="20"/>
      <c r="C989" s="20"/>
      <c r="D989" s="20"/>
      <c r="E989" s="20"/>
      <c r="F989" s="48"/>
      <c r="G989" s="49"/>
      <c r="H989" s="50"/>
    </row>
    <row r="990" spans="1:8">
      <c r="A990" s="20"/>
      <c r="B990" s="20"/>
      <c r="C990" s="20"/>
      <c r="D990" s="20"/>
      <c r="E990" s="20"/>
      <c r="F990" s="48"/>
      <c r="G990" s="49"/>
      <c r="H990" s="50"/>
    </row>
    <row r="991" spans="1:8">
      <c r="A991" s="20"/>
      <c r="B991" s="20"/>
      <c r="C991" s="20"/>
      <c r="D991" s="20"/>
      <c r="E991" s="20"/>
      <c r="F991" s="48"/>
      <c r="G991" s="49"/>
      <c r="H991" s="50"/>
    </row>
    <row r="992" spans="1:8">
      <c r="A992" s="20"/>
      <c r="B992" s="20"/>
      <c r="C992" s="20"/>
      <c r="D992" s="20"/>
      <c r="E992" s="20"/>
      <c r="F992" s="48"/>
      <c r="G992" s="49"/>
      <c r="H992" s="50"/>
    </row>
    <row r="993" spans="1:8">
      <c r="A993" s="20"/>
      <c r="B993" s="20"/>
      <c r="C993" s="20"/>
      <c r="D993" s="20"/>
      <c r="E993" s="20"/>
      <c r="F993" s="48"/>
      <c r="G993" s="49"/>
      <c r="H993" s="50"/>
    </row>
    <row r="994" spans="1:8">
      <c r="A994" s="20"/>
      <c r="B994" s="20"/>
      <c r="C994" s="20"/>
      <c r="D994" s="20"/>
      <c r="E994" s="20"/>
      <c r="F994" s="48"/>
      <c r="G994" s="49"/>
      <c r="H994" s="50"/>
    </row>
    <row r="995" spans="1:8">
      <c r="A995" s="20"/>
      <c r="B995" s="20"/>
      <c r="C995" s="20"/>
      <c r="D995" s="20"/>
      <c r="E995" s="20"/>
      <c r="F995" s="48"/>
      <c r="G995" s="49"/>
      <c r="H995" s="50"/>
    </row>
    <row r="996" spans="1:8">
      <c r="A996" s="20"/>
      <c r="B996" s="20"/>
      <c r="C996" s="20"/>
      <c r="D996" s="20"/>
      <c r="E996" s="20"/>
      <c r="F996" s="48"/>
      <c r="G996" s="49"/>
      <c r="H996" s="50"/>
    </row>
    <row r="997" spans="1:8">
      <c r="A997" s="20"/>
      <c r="B997" s="20"/>
      <c r="C997" s="20"/>
      <c r="D997" s="20"/>
      <c r="E997" s="20"/>
      <c r="F997" s="48"/>
      <c r="G997" s="49"/>
      <c r="H997" s="50"/>
    </row>
    <row r="998" spans="1:8">
      <c r="A998" s="20"/>
      <c r="B998" s="20"/>
      <c r="C998" s="20"/>
      <c r="D998" s="20"/>
      <c r="E998" s="20"/>
      <c r="F998" s="48"/>
      <c r="G998" s="49"/>
      <c r="H998" s="50"/>
    </row>
    <row r="999" spans="1:8">
      <c r="A999" s="20"/>
      <c r="B999" s="20"/>
      <c r="C999" s="20"/>
      <c r="D999" s="20"/>
      <c r="E999" s="20"/>
      <c r="F999" s="48"/>
      <c r="G999" s="49"/>
      <c r="H999" s="50"/>
    </row>
    <row r="1000" spans="1:8">
      <c r="A1000" s="20"/>
      <c r="B1000" s="20"/>
      <c r="C1000" s="20"/>
      <c r="D1000" s="20"/>
      <c r="E1000" s="20"/>
      <c r="F1000" s="48"/>
      <c r="G1000" s="49"/>
      <c r="H1000" s="50"/>
    </row>
    <row r="1001" spans="1:8">
      <c r="A1001" s="20"/>
      <c r="B1001" s="20"/>
      <c r="C1001" s="20"/>
      <c r="D1001" s="20"/>
      <c r="E1001" s="20"/>
      <c r="F1001" s="48"/>
      <c r="G1001" s="49"/>
      <c r="H1001" s="50"/>
    </row>
    <row r="1002" spans="1:8">
      <c r="A1002" s="20"/>
      <c r="B1002" s="20"/>
      <c r="C1002" s="20"/>
      <c r="D1002" s="20"/>
      <c r="E1002" s="20"/>
      <c r="F1002" s="48"/>
      <c r="G1002" s="49"/>
      <c r="H1002" s="50"/>
    </row>
    <row r="1003" spans="1:8">
      <c r="A1003" s="20"/>
      <c r="B1003" s="20"/>
      <c r="C1003" s="20"/>
      <c r="D1003" s="20"/>
      <c r="E1003" s="20"/>
      <c r="F1003" s="48"/>
      <c r="G1003" s="49"/>
      <c r="H1003" s="50"/>
    </row>
    <row r="1004" spans="1:8">
      <c r="A1004" s="20"/>
      <c r="B1004" s="20"/>
      <c r="C1004" s="20"/>
      <c r="D1004" s="20"/>
      <c r="E1004" s="20"/>
      <c r="F1004" s="48"/>
      <c r="G1004" s="49"/>
      <c r="H1004" s="50"/>
    </row>
    <row r="1005" spans="1:8">
      <c r="A1005" s="20"/>
      <c r="B1005" s="20"/>
      <c r="C1005" s="20"/>
      <c r="D1005" s="20"/>
      <c r="E1005" s="20"/>
      <c r="F1005" s="48"/>
      <c r="G1005" s="49"/>
      <c r="H1005" s="50"/>
    </row>
    <row r="1006" spans="1:8">
      <c r="A1006" s="20"/>
      <c r="B1006" s="20"/>
      <c r="C1006" s="20"/>
      <c r="D1006" s="20"/>
      <c r="E1006" s="20"/>
      <c r="F1006" s="48"/>
      <c r="G1006" s="49"/>
      <c r="H1006" s="50"/>
    </row>
    <row r="1007" spans="1:8">
      <c r="A1007" s="20"/>
      <c r="B1007" s="20"/>
      <c r="C1007" s="20"/>
      <c r="D1007" s="20"/>
      <c r="E1007" s="20"/>
      <c r="F1007" s="48"/>
      <c r="G1007" s="49"/>
      <c r="H1007" s="50"/>
    </row>
    <row r="1008" spans="1:8">
      <c r="A1008" s="20"/>
      <c r="B1008" s="20"/>
      <c r="C1008" s="20"/>
      <c r="D1008" s="20"/>
      <c r="E1008" s="20"/>
      <c r="F1008" s="48"/>
      <c r="G1008" s="49"/>
      <c r="H1008" s="50"/>
    </row>
    <row r="1009" spans="1:8">
      <c r="A1009" s="20"/>
      <c r="B1009" s="20"/>
      <c r="C1009" s="20"/>
      <c r="D1009" s="20"/>
      <c r="E1009" s="20"/>
      <c r="F1009" s="48"/>
      <c r="G1009" s="49"/>
      <c r="H1009" s="50"/>
    </row>
    <row r="1010" spans="1:8">
      <c r="A1010" s="20"/>
      <c r="B1010" s="20"/>
      <c r="C1010" s="20"/>
      <c r="D1010" s="20"/>
      <c r="E1010" s="20"/>
      <c r="F1010" s="48"/>
      <c r="G1010" s="49"/>
      <c r="H1010" s="50"/>
    </row>
    <row r="1011" spans="1:8">
      <c r="A1011" s="20"/>
      <c r="B1011" s="20"/>
      <c r="C1011" s="20"/>
      <c r="D1011" s="20"/>
      <c r="E1011" s="20"/>
      <c r="F1011" s="48"/>
      <c r="G1011" s="49"/>
      <c r="H1011" s="50"/>
    </row>
    <row r="1012" spans="1:8">
      <c r="A1012" s="20"/>
      <c r="B1012" s="20"/>
      <c r="C1012" s="20"/>
      <c r="D1012" s="20"/>
      <c r="E1012" s="20"/>
      <c r="F1012" s="48"/>
      <c r="G1012" s="49"/>
      <c r="H1012" s="50"/>
    </row>
    <row r="1013" spans="1:8">
      <c r="A1013" s="20"/>
      <c r="B1013" s="20"/>
      <c r="C1013" s="20"/>
      <c r="D1013" s="20"/>
      <c r="E1013" s="20"/>
      <c r="F1013" s="48"/>
      <c r="G1013" s="49"/>
      <c r="H1013" s="50"/>
    </row>
    <row r="1014" spans="1:8">
      <c r="A1014" s="20"/>
      <c r="B1014" s="20"/>
      <c r="C1014" s="20"/>
      <c r="D1014" s="20"/>
      <c r="E1014" s="20"/>
      <c r="F1014" s="48"/>
      <c r="G1014" s="49"/>
      <c r="H1014" s="50"/>
    </row>
    <row r="1015" spans="1:8">
      <c r="A1015" s="20"/>
      <c r="B1015" s="20"/>
      <c r="C1015" s="20"/>
      <c r="D1015" s="20"/>
      <c r="E1015" s="20"/>
      <c r="F1015" s="48"/>
      <c r="G1015" s="49"/>
      <c r="H1015" s="50"/>
    </row>
    <row r="1016" spans="1:8">
      <c r="A1016" s="20"/>
      <c r="B1016" s="20"/>
      <c r="C1016" s="20"/>
      <c r="D1016" s="20"/>
      <c r="E1016" s="20"/>
      <c r="F1016" s="48"/>
      <c r="G1016" s="49"/>
      <c r="H1016" s="50"/>
    </row>
    <row r="1017" spans="1:8">
      <c r="A1017" s="20"/>
      <c r="B1017" s="20"/>
      <c r="C1017" s="20"/>
      <c r="D1017" s="20"/>
      <c r="E1017" s="20"/>
      <c r="F1017" s="48"/>
      <c r="G1017" s="49"/>
      <c r="H1017" s="50"/>
    </row>
    <row r="1018" spans="1:8">
      <c r="A1018" s="20"/>
      <c r="B1018" s="20"/>
      <c r="C1018" s="20"/>
      <c r="D1018" s="20"/>
      <c r="E1018" s="20"/>
      <c r="F1018" s="48"/>
      <c r="G1018" s="49"/>
      <c r="H1018" s="50"/>
    </row>
    <row r="1019" spans="1:8">
      <c r="A1019" s="20"/>
      <c r="B1019" s="20"/>
      <c r="C1019" s="20"/>
      <c r="D1019" s="20"/>
      <c r="E1019" s="20"/>
      <c r="F1019" s="48"/>
      <c r="G1019" s="49"/>
      <c r="H1019" s="50"/>
    </row>
    <row r="1020" spans="1:8">
      <c r="A1020" s="20"/>
      <c r="B1020" s="20"/>
      <c r="C1020" s="20"/>
      <c r="D1020" s="20"/>
      <c r="E1020" s="20"/>
      <c r="F1020" s="48"/>
      <c r="G1020" s="49"/>
      <c r="H1020" s="50"/>
    </row>
    <row r="1021" spans="1:8">
      <c r="A1021" s="20"/>
      <c r="B1021" s="20"/>
      <c r="C1021" s="20"/>
      <c r="D1021" s="20"/>
      <c r="E1021" s="20"/>
      <c r="F1021" s="48"/>
      <c r="G1021" s="49"/>
      <c r="H1021" s="50"/>
    </row>
    <row r="1022" spans="1:8">
      <c r="A1022" s="20"/>
      <c r="B1022" s="20"/>
      <c r="C1022" s="20"/>
      <c r="D1022" s="20"/>
      <c r="E1022" s="20"/>
      <c r="F1022" s="48"/>
      <c r="G1022" s="49"/>
      <c r="H1022" s="50"/>
    </row>
    <row r="1023" spans="1:8">
      <c r="A1023" s="20"/>
      <c r="B1023" s="20"/>
      <c r="C1023" s="20"/>
      <c r="D1023" s="20"/>
      <c r="E1023" s="20"/>
      <c r="F1023" s="48"/>
      <c r="G1023" s="49"/>
      <c r="H1023" s="50"/>
    </row>
    <row r="1024" spans="1:8">
      <c r="A1024" s="20"/>
      <c r="B1024" s="20"/>
      <c r="C1024" s="20"/>
      <c r="D1024" s="20"/>
      <c r="E1024" s="20"/>
      <c r="F1024" s="48"/>
      <c r="G1024" s="49"/>
      <c r="H1024" s="50"/>
    </row>
    <row r="1025" spans="1:8">
      <c r="A1025" s="20"/>
      <c r="B1025" s="20"/>
      <c r="C1025" s="20"/>
      <c r="D1025" s="20"/>
      <c r="E1025" s="20"/>
      <c r="F1025" s="48"/>
      <c r="G1025" s="49"/>
      <c r="H1025" s="50"/>
    </row>
    <row r="1026" spans="1:8">
      <c r="A1026" s="20"/>
      <c r="B1026" s="20"/>
      <c r="C1026" s="20"/>
      <c r="D1026" s="20"/>
      <c r="E1026" s="20"/>
      <c r="F1026" s="48"/>
      <c r="G1026" s="49"/>
      <c r="H1026" s="50"/>
    </row>
    <row r="1027" spans="1:8">
      <c r="A1027" s="20"/>
      <c r="B1027" s="20"/>
      <c r="C1027" s="20"/>
      <c r="D1027" s="20"/>
      <c r="E1027" s="20"/>
      <c r="F1027" s="48"/>
      <c r="G1027" s="49"/>
      <c r="H1027" s="50"/>
    </row>
    <row r="1028" spans="1:8">
      <c r="A1028" s="20"/>
      <c r="B1028" s="20"/>
      <c r="C1028" s="20"/>
      <c r="D1028" s="20"/>
      <c r="E1028" s="20"/>
      <c r="F1028" s="48"/>
      <c r="G1028" s="49"/>
      <c r="H1028" s="50"/>
    </row>
    <row r="1029" spans="1:8">
      <c r="A1029" s="20"/>
      <c r="B1029" s="20"/>
      <c r="C1029" s="20"/>
      <c r="D1029" s="20"/>
      <c r="E1029" s="20"/>
      <c r="F1029" s="48"/>
      <c r="G1029" s="49"/>
      <c r="H1029" s="50"/>
    </row>
    <row r="1030" spans="1:8">
      <c r="A1030" s="20"/>
      <c r="B1030" s="20"/>
      <c r="C1030" s="20"/>
      <c r="D1030" s="20"/>
      <c r="E1030" s="20"/>
      <c r="F1030" s="48"/>
      <c r="G1030" s="49"/>
      <c r="H1030" s="50"/>
    </row>
    <row r="1031" spans="1:8">
      <c r="A1031" s="20"/>
      <c r="B1031" s="20"/>
      <c r="C1031" s="20"/>
      <c r="D1031" s="20"/>
      <c r="E1031" s="20"/>
      <c r="F1031" s="48"/>
      <c r="G1031" s="49"/>
      <c r="H1031" s="50"/>
    </row>
    <row r="1032" spans="1:8">
      <c r="A1032" s="20"/>
      <c r="B1032" s="20"/>
      <c r="C1032" s="20"/>
      <c r="D1032" s="20"/>
      <c r="E1032" s="20"/>
      <c r="F1032" s="48"/>
      <c r="G1032" s="49"/>
      <c r="H1032" s="50"/>
    </row>
    <row r="1033" spans="1:8">
      <c r="A1033" s="20"/>
      <c r="B1033" s="20"/>
      <c r="C1033" s="20"/>
      <c r="D1033" s="20"/>
      <c r="E1033" s="20"/>
      <c r="F1033" s="48"/>
      <c r="G1033" s="49"/>
      <c r="H1033" s="50"/>
    </row>
    <row r="1034" spans="1:8">
      <c r="A1034" s="20"/>
      <c r="B1034" s="20"/>
      <c r="C1034" s="20"/>
      <c r="D1034" s="20"/>
      <c r="E1034" s="20"/>
      <c r="F1034" s="48"/>
      <c r="G1034" s="49"/>
      <c r="H1034" s="50"/>
    </row>
    <row r="1035" spans="1:8">
      <c r="A1035" s="20"/>
      <c r="B1035" s="20"/>
      <c r="C1035" s="20"/>
      <c r="D1035" s="20"/>
      <c r="E1035" s="20"/>
      <c r="F1035" s="48"/>
      <c r="G1035" s="49"/>
      <c r="H1035" s="50"/>
    </row>
    <row r="1036" spans="1:8">
      <c r="A1036" s="20"/>
      <c r="B1036" s="20"/>
      <c r="C1036" s="20"/>
      <c r="D1036" s="20"/>
      <c r="E1036" s="20"/>
      <c r="F1036" s="48"/>
      <c r="G1036" s="49"/>
      <c r="H1036" s="50"/>
    </row>
    <row r="1037" spans="1:8">
      <c r="A1037" s="20"/>
      <c r="B1037" s="20"/>
      <c r="C1037" s="20"/>
      <c r="D1037" s="20"/>
      <c r="E1037" s="20"/>
      <c r="F1037" s="48"/>
      <c r="G1037" s="49"/>
      <c r="H1037" s="50"/>
    </row>
    <row r="1038" spans="1:8">
      <c r="A1038" s="20"/>
      <c r="B1038" s="20"/>
      <c r="C1038" s="20"/>
      <c r="D1038" s="20"/>
      <c r="E1038" s="20"/>
      <c r="F1038" s="48"/>
      <c r="G1038" s="49"/>
      <c r="H1038" s="50"/>
    </row>
    <row r="1039" spans="1:8">
      <c r="A1039" s="20"/>
      <c r="B1039" s="20"/>
      <c r="C1039" s="20"/>
      <c r="D1039" s="20"/>
      <c r="E1039" s="20"/>
      <c r="F1039" s="48"/>
      <c r="G1039" s="49"/>
      <c r="H1039" s="50"/>
    </row>
    <row r="1040" spans="1:8">
      <c r="A1040" s="20"/>
      <c r="B1040" s="20"/>
      <c r="C1040" s="20"/>
      <c r="D1040" s="20"/>
      <c r="E1040" s="20"/>
      <c r="F1040" s="48"/>
      <c r="G1040" s="49"/>
      <c r="H1040" s="50"/>
    </row>
    <row r="1041" spans="1:8">
      <c r="A1041" s="20"/>
      <c r="B1041" s="20"/>
      <c r="C1041" s="20"/>
      <c r="D1041" s="20"/>
      <c r="E1041" s="20"/>
      <c r="F1041" s="48"/>
      <c r="G1041" s="49"/>
      <c r="H1041" s="50"/>
    </row>
    <row r="1042" spans="1:8">
      <c r="A1042" s="20"/>
      <c r="B1042" s="20"/>
      <c r="C1042" s="20"/>
      <c r="D1042" s="20"/>
      <c r="E1042" s="20"/>
      <c r="F1042" s="48"/>
      <c r="G1042" s="49"/>
      <c r="H1042" s="50"/>
    </row>
    <row r="1043" spans="1:8">
      <c r="A1043" s="20"/>
      <c r="B1043" s="20"/>
      <c r="C1043" s="20"/>
      <c r="D1043" s="20"/>
      <c r="E1043" s="20"/>
      <c r="F1043" s="48"/>
      <c r="G1043" s="49"/>
      <c r="H1043" s="50"/>
    </row>
    <row r="1044" spans="1:8">
      <c r="A1044" s="20"/>
      <c r="B1044" s="20"/>
      <c r="C1044" s="20"/>
      <c r="D1044" s="20"/>
      <c r="E1044" s="20"/>
      <c r="F1044" s="48"/>
      <c r="G1044" s="49"/>
      <c r="H1044" s="50"/>
    </row>
    <row r="1045" spans="1:8">
      <c r="A1045" s="20"/>
      <c r="B1045" s="20"/>
      <c r="C1045" s="20"/>
      <c r="D1045" s="20"/>
      <c r="E1045" s="20"/>
      <c r="F1045" s="48"/>
      <c r="G1045" s="49"/>
      <c r="H1045" s="50"/>
    </row>
    <row r="1046" spans="1:8">
      <c r="A1046" s="20"/>
      <c r="B1046" s="20"/>
      <c r="C1046" s="20"/>
      <c r="D1046" s="20"/>
      <c r="E1046" s="20"/>
      <c r="F1046" s="48"/>
      <c r="G1046" s="49"/>
      <c r="H1046" s="50"/>
    </row>
    <row r="1047" spans="1:8">
      <c r="A1047" s="20"/>
      <c r="B1047" s="20"/>
      <c r="C1047" s="20"/>
      <c r="D1047" s="20"/>
      <c r="E1047" s="20"/>
      <c r="F1047" s="48"/>
      <c r="G1047" s="49"/>
      <c r="H1047" s="50"/>
    </row>
    <row r="1048" spans="1:8">
      <c r="A1048" s="20"/>
      <c r="B1048" s="20"/>
      <c r="C1048" s="20"/>
      <c r="D1048" s="20"/>
      <c r="E1048" s="20"/>
      <c r="F1048" s="48"/>
      <c r="G1048" s="49"/>
      <c r="H1048" s="50"/>
    </row>
    <row r="1049" spans="1:8">
      <c r="A1049" s="20"/>
      <c r="B1049" s="20"/>
      <c r="C1049" s="20"/>
      <c r="D1049" s="20"/>
      <c r="E1049" s="20"/>
      <c r="F1049" s="48"/>
      <c r="G1049" s="49"/>
      <c r="H1049" s="50"/>
    </row>
    <row r="1050" spans="1:8">
      <c r="A1050" s="20"/>
      <c r="B1050" s="20"/>
      <c r="C1050" s="20"/>
      <c r="D1050" s="20"/>
      <c r="E1050" s="20"/>
      <c r="F1050" s="48"/>
      <c r="G1050" s="49"/>
      <c r="H1050" s="50"/>
    </row>
    <row r="1051" spans="1:8">
      <c r="A1051" s="20"/>
      <c r="B1051" s="20"/>
      <c r="C1051" s="20"/>
      <c r="D1051" s="20"/>
      <c r="E1051" s="20"/>
      <c r="F1051" s="48"/>
      <c r="G1051" s="49"/>
      <c r="H1051" s="50"/>
    </row>
    <row r="1052" spans="1:8">
      <c r="A1052" s="20"/>
      <c r="B1052" s="20"/>
      <c r="C1052" s="20"/>
      <c r="D1052" s="20"/>
      <c r="E1052" s="20"/>
      <c r="F1052" s="48"/>
      <c r="G1052" s="49"/>
      <c r="H1052" s="50"/>
    </row>
    <row r="1053" spans="1:8">
      <c r="A1053" s="20"/>
      <c r="B1053" s="20"/>
      <c r="C1053" s="20"/>
      <c r="D1053" s="20"/>
      <c r="E1053" s="20"/>
      <c r="F1053" s="48"/>
      <c r="G1053" s="49"/>
      <c r="H1053" s="50"/>
    </row>
    <row r="1054" spans="1:8">
      <c r="A1054" s="20"/>
      <c r="B1054" s="20"/>
      <c r="C1054" s="20"/>
      <c r="D1054" s="20"/>
      <c r="E1054" s="20"/>
      <c r="F1054" s="48"/>
      <c r="G1054" s="49"/>
      <c r="H1054" s="50"/>
    </row>
    <row r="1055" spans="1:8">
      <c r="A1055" s="20"/>
      <c r="B1055" s="20"/>
      <c r="C1055" s="20"/>
      <c r="D1055" s="20"/>
      <c r="E1055" s="20"/>
      <c r="F1055" s="48"/>
      <c r="G1055" s="49"/>
      <c r="H1055" s="50"/>
    </row>
    <row r="1056" spans="1:8">
      <c r="A1056" s="20"/>
      <c r="B1056" s="20"/>
      <c r="C1056" s="20"/>
      <c r="D1056" s="20"/>
      <c r="E1056" s="20"/>
      <c r="F1056" s="48"/>
      <c r="G1056" s="49"/>
      <c r="H1056" s="50"/>
    </row>
    <row r="1057" spans="1:8">
      <c r="A1057" s="20"/>
      <c r="B1057" s="20"/>
      <c r="C1057" s="20"/>
      <c r="D1057" s="20"/>
      <c r="E1057" s="20"/>
      <c r="F1057" s="48"/>
      <c r="G1057" s="49"/>
      <c r="H1057" s="50"/>
    </row>
    <row r="1058" spans="1:8">
      <c r="A1058" s="20"/>
      <c r="B1058" s="20"/>
      <c r="C1058" s="20"/>
      <c r="D1058" s="20"/>
      <c r="E1058" s="20"/>
      <c r="F1058" s="48"/>
      <c r="G1058" s="49"/>
      <c r="H1058" s="50"/>
    </row>
    <row r="1059" spans="1:8">
      <c r="A1059" s="20"/>
      <c r="B1059" s="20"/>
      <c r="C1059" s="20"/>
      <c r="D1059" s="20"/>
      <c r="E1059" s="20"/>
      <c r="F1059" s="48"/>
      <c r="G1059" s="49"/>
      <c r="H1059" s="50"/>
    </row>
    <row r="1060" spans="1:8">
      <c r="A1060" s="20"/>
      <c r="B1060" s="20"/>
      <c r="C1060" s="20"/>
      <c r="D1060" s="20"/>
      <c r="E1060" s="20"/>
      <c r="F1060" s="48"/>
      <c r="G1060" s="49"/>
      <c r="H1060" s="50"/>
    </row>
    <row r="1061" spans="1:8">
      <c r="A1061" s="20"/>
      <c r="B1061" s="20"/>
      <c r="C1061" s="20"/>
      <c r="D1061" s="20"/>
      <c r="E1061" s="20"/>
      <c r="F1061" s="48"/>
      <c r="G1061" s="49"/>
      <c r="H1061" s="50"/>
    </row>
    <row r="1062" spans="1:8">
      <c r="A1062" s="20"/>
      <c r="B1062" s="20"/>
      <c r="C1062" s="20"/>
      <c r="D1062" s="20"/>
      <c r="E1062" s="20"/>
      <c r="F1062" s="48"/>
      <c r="G1062" s="49"/>
      <c r="H1062" s="50"/>
    </row>
    <row r="1063" spans="1:8">
      <c r="A1063" s="20"/>
      <c r="B1063" s="20"/>
      <c r="C1063" s="20"/>
      <c r="D1063" s="20"/>
      <c r="E1063" s="20"/>
      <c r="F1063" s="48"/>
      <c r="G1063" s="49"/>
      <c r="H1063" s="50"/>
    </row>
    <row r="1064" spans="1:8">
      <c r="A1064" s="20"/>
      <c r="B1064" s="20"/>
      <c r="C1064" s="20"/>
      <c r="D1064" s="20"/>
      <c r="E1064" s="20"/>
      <c r="F1064" s="48"/>
      <c r="G1064" s="49"/>
      <c r="H1064" s="50"/>
    </row>
    <row r="1065" spans="1:8">
      <c r="A1065" s="20"/>
      <c r="B1065" s="20"/>
      <c r="C1065" s="20"/>
      <c r="D1065" s="20"/>
      <c r="E1065" s="20"/>
      <c r="F1065" s="48"/>
      <c r="G1065" s="49"/>
      <c r="H1065" s="50"/>
    </row>
    <row r="1066" spans="1:8">
      <c r="A1066" s="20"/>
      <c r="B1066" s="20"/>
      <c r="C1066" s="20"/>
      <c r="D1066" s="20"/>
      <c r="E1066" s="20"/>
      <c r="F1066" s="48"/>
      <c r="G1066" s="49"/>
      <c r="H1066" s="50"/>
    </row>
    <row r="1067" spans="1:8">
      <c r="A1067" s="20"/>
      <c r="B1067" s="20"/>
      <c r="C1067" s="20"/>
      <c r="D1067" s="20"/>
      <c r="E1067" s="20"/>
      <c r="F1067" s="48"/>
      <c r="G1067" s="49"/>
      <c r="H1067" s="50"/>
    </row>
    <row r="1068" spans="1:8">
      <c r="A1068" s="20"/>
      <c r="B1068" s="20"/>
      <c r="C1068" s="20"/>
      <c r="D1068" s="20"/>
      <c r="E1068" s="20"/>
      <c r="F1068" s="48"/>
      <c r="G1068" s="49"/>
      <c r="H1068" s="50"/>
    </row>
    <row r="1069" spans="1:8">
      <c r="A1069" s="20"/>
      <c r="B1069" s="20"/>
      <c r="C1069" s="20"/>
      <c r="D1069" s="20"/>
      <c r="E1069" s="20"/>
      <c r="F1069" s="48"/>
      <c r="G1069" s="49"/>
      <c r="H1069" s="50"/>
    </row>
    <row r="1070" spans="1:8">
      <c r="A1070" s="20"/>
      <c r="B1070" s="20"/>
      <c r="C1070" s="20"/>
      <c r="D1070" s="20"/>
      <c r="E1070" s="20"/>
      <c r="F1070" s="48"/>
      <c r="G1070" s="49"/>
      <c r="H1070" s="50"/>
    </row>
    <row r="1071" spans="1:8">
      <c r="A1071" s="20"/>
      <c r="B1071" s="20"/>
      <c r="C1071" s="20"/>
      <c r="D1071" s="20"/>
      <c r="E1071" s="20"/>
      <c r="F1071" s="48"/>
      <c r="G1071" s="49"/>
      <c r="H1071" s="50"/>
    </row>
    <row r="1072" spans="1:8">
      <c r="A1072" s="20"/>
      <c r="B1072" s="20"/>
      <c r="C1072" s="20"/>
      <c r="D1072" s="20"/>
      <c r="E1072" s="20"/>
      <c r="F1072" s="48"/>
      <c r="G1072" s="49"/>
      <c r="H1072" s="50"/>
    </row>
    <row r="1073" spans="1:8">
      <c r="A1073" s="20"/>
      <c r="B1073" s="20"/>
      <c r="C1073" s="20"/>
      <c r="D1073" s="20"/>
      <c r="E1073" s="20"/>
      <c r="F1073" s="48"/>
      <c r="G1073" s="49"/>
      <c r="H1073" s="50"/>
    </row>
    <row r="1074" spans="1:8">
      <c r="A1074" s="20"/>
      <c r="B1074" s="20"/>
      <c r="C1074" s="20"/>
      <c r="D1074" s="20"/>
      <c r="E1074" s="20"/>
      <c r="F1074" s="48"/>
      <c r="G1074" s="49"/>
      <c r="H1074" s="50"/>
    </row>
    <row r="1075" spans="1:8">
      <c r="A1075" s="20"/>
      <c r="B1075" s="20"/>
      <c r="C1075" s="20"/>
      <c r="D1075" s="20"/>
      <c r="E1075" s="20"/>
      <c r="F1075" s="48"/>
      <c r="G1075" s="49"/>
      <c r="H1075" s="50"/>
    </row>
    <row r="1076" spans="1:8">
      <c r="A1076" s="20"/>
      <c r="B1076" s="20"/>
      <c r="C1076" s="20"/>
      <c r="D1076" s="20"/>
      <c r="E1076" s="20"/>
      <c r="F1076" s="48"/>
      <c r="G1076" s="49"/>
      <c r="H1076" s="50"/>
    </row>
    <row r="1077" spans="1:8">
      <c r="A1077" s="20"/>
      <c r="B1077" s="20"/>
      <c r="C1077" s="20"/>
      <c r="D1077" s="20"/>
      <c r="E1077" s="20"/>
      <c r="F1077" s="48"/>
      <c r="G1077" s="49"/>
      <c r="H1077" s="50"/>
    </row>
    <row r="1078" spans="1:8">
      <c r="A1078" s="20"/>
      <c r="B1078" s="20"/>
      <c r="C1078" s="20"/>
      <c r="D1078" s="20"/>
      <c r="E1078" s="20"/>
      <c r="F1078" s="48"/>
      <c r="G1078" s="49"/>
      <c r="H1078" s="50"/>
    </row>
    <row r="1079" spans="1:8">
      <c r="A1079" s="20"/>
      <c r="B1079" s="20"/>
      <c r="C1079" s="20"/>
      <c r="D1079" s="20"/>
      <c r="E1079" s="20"/>
      <c r="F1079" s="48"/>
      <c r="G1079" s="49"/>
      <c r="H1079" s="50"/>
    </row>
    <row r="1080" spans="1:8">
      <c r="A1080" s="20"/>
      <c r="B1080" s="20"/>
      <c r="C1080" s="20"/>
      <c r="D1080" s="20"/>
      <c r="E1080" s="20"/>
      <c r="F1080" s="48"/>
      <c r="G1080" s="49"/>
      <c r="H1080" s="50"/>
    </row>
    <row r="1081" spans="1:8">
      <c r="A1081" s="20"/>
      <c r="B1081" s="20"/>
      <c r="C1081" s="20"/>
      <c r="D1081" s="20"/>
      <c r="E1081" s="20"/>
      <c r="F1081" s="48"/>
      <c r="G1081" s="49"/>
      <c r="H1081" s="50"/>
    </row>
    <row r="1082" spans="1:8">
      <c r="A1082" s="20"/>
      <c r="B1082" s="20"/>
      <c r="C1082" s="20"/>
      <c r="D1082" s="20"/>
      <c r="E1082" s="20"/>
      <c r="F1082" s="48"/>
      <c r="G1082" s="49"/>
      <c r="H1082" s="50"/>
    </row>
    <row r="1083" spans="1:8">
      <c r="A1083" s="20"/>
      <c r="B1083" s="20"/>
      <c r="C1083" s="20"/>
      <c r="D1083" s="20"/>
      <c r="E1083" s="20"/>
      <c r="F1083" s="48"/>
      <c r="G1083" s="49"/>
      <c r="H1083" s="50"/>
    </row>
    <row r="1084" spans="1:8">
      <c r="A1084" s="20"/>
      <c r="B1084" s="20"/>
      <c r="C1084" s="20"/>
      <c r="D1084" s="20"/>
      <c r="E1084" s="20"/>
      <c r="F1084" s="48"/>
      <c r="G1084" s="49"/>
      <c r="H1084" s="50"/>
    </row>
    <row r="1085" spans="1:8">
      <c r="A1085" s="20"/>
      <c r="B1085" s="20"/>
      <c r="C1085" s="20"/>
      <c r="D1085" s="20"/>
      <c r="E1085" s="20"/>
      <c r="F1085" s="48"/>
      <c r="G1085" s="49"/>
      <c r="H1085" s="50"/>
    </row>
    <row r="1086" spans="1:8">
      <c r="A1086" s="20"/>
      <c r="B1086" s="20"/>
      <c r="C1086" s="20"/>
      <c r="D1086" s="20"/>
      <c r="E1086" s="20"/>
      <c r="F1086" s="48"/>
      <c r="G1086" s="49"/>
      <c r="H1086" s="50"/>
    </row>
    <row r="1087" spans="1:8">
      <c r="A1087" s="20"/>
      <c r="B1087" s="20"/>
      <c r="C1087" s="20"/>
      <c r="D1087" s="20"/>
      <c r="E1087" s="20"/>
      <c r="F1087" s="48"/>
      <c r="G1087" s="49"/>
      <c r="H1087" s="50"/>
    </row>
    <row r="1088" spans="1:8">
      <c r="A1088" s="20"/>
      <c r="B1088" s="20"/>
      <c r="C1088" s="20"/>
      <c r="D1088" s="20"/>
      <c r="E1088" s="20"/>
      <c r="F1088" s="48"/>
      <c r="G1088" s="49"/>
      <c r="H1088" s="50"/>
    </row>
    <row r="1089" spans="1:8">
      <c r="A1089" s="20"/>
      <c r="B1089" s="20"/>
      <c r="C1089" s="20"/>
      <c r="D1089" s="20"/>
      <c r="E1089" s="20"/>
      <c r="F1089" s="48"/>
      <c r="G1089" s="49"/>
      <c r="H1089" s="50"/>
    </row>
    <row r="1090" spans="1:8">
      <c r="A1090" s="20"/>
      <c r="B1090" s="20"/>
      <c r="C1090" s="20"/>
      <c r="D1090" s="20"/>
      <c r="E1090" s="20"/>
      <c r="F1090" s="48"/>
      <c r="G1090" s="49"/>
      <c r="H1090" s="50"/>
    </row>
    <row r="1091" spans="1:8">
      <c r="A1091" s="20"/>
      <c r="B1091" s="20"/>
      <c r="C1091" s="20"/>
      <c r="D1091" s="20"/>
      <c r="E1091" s="20"/>
      <c r="F1091" s="48"/>
      <c r="G1091" s="49"/>
      <c r="H1091" s="50"/>
    </row>
    <row r="1092" spans="1:8">
      <c r="A1092" s="20"/>
      <c r="B1092" s="20"/>
      <c r="C1092" s="20"/>
      <c r="D1092" s="20"/>
      <c r="E1092" s="20"/>
      <c r="F1092" s="48"/>
      <c r="G1092" s="49"/>
      <c r="H1092" s="50"/>
    </row>
    <row r="1093" spans="1:8">
      <c r="A1093" s="20"/>
      <c r="B1093" s="20"/>
      <c r="C1093" s="20"/>
      <c r="D1093" s="20"/>
      <c r="E1093" s="20"/>
      <c r="F1093" s="48"/>
      <c r="G1093" s="49"/>
      <c r="H1093" s="50"/>
    </row>
    <row r="1094" spans="1:8">
      <c r="A1094" s="20"/>
      <c r="B1094" s="20"/>
      <c r="C1094" s="20"/>
      <c r="D1094" s="20"/>
      <c r="E1094" s="20"/>
      <c r="F1094" s="48"/>
      <c r="G1094" s="49"/>
      <c r="H1094" s="50"/>
    </row>
    <row r="1095" spans="1:8">
      <c r="A1095" s="20"/>
      <c r="B1095" s="20"/>
      <c r="C1095" s="20"/>
      <c r="D1095" s="20"/>
      <c r="E1095" s="20"/>
      <c r="F1095" s="48"/>
      <c r="G1095" s="49"/>
      <c r="H1095" s="50"/>
    </row>
    <row r="1096" spans="1:8">
      <c r="A1096" s="20"/>
      <c r="B1096" s="20"/>
      <c r="C1096" s="20"/>
      <c r="D1096" s="20"/>
      <c r="E1096" s="20"/>
      <c r="F1096" s="48"/>
      <c r="G1096" s="49"/>
      <c r="H1096" s="50"/>
    </row>
    <row r="1097" spans="1:8">
      <c r="A1097" s="20"/>
      <c r="B1097" s="20"/>
      <c r="C1097" s="20"/>
      <c r="D1097" s="20"/>
      <c r="E1097" s="20"/>
      <c r="F1097" s="48"/>
      <c r="G1097" s="49"/>
      <c r="H1097" s="50"/>
    </row>
    <row r="1098" spans="1:8">
      <c r="A1098" s="20"/>
      <c r="B1098" s="20"/>
      <c r="C1098" s="20"/>
      <c r="D1098" s="20"/>
      <c r="E1098" s="20"/>
      <c r="F1098" s="48"/>
      <c r="G1098" s="49"/>
      <c r="H1098" s="50"/>
    </row>
    <row r="1099" spans="1:8">
      <c r="A1099" s="20"/>
      <c r="B1099" s="20"/>
      <c r="C1099" s="20"/>
      <c r="D1099" s="20"/>
      <c r="E1099" s="20"/>
      <c r="F1099" s="48"/>
      <c r="G1099" s="49"/>
      <c r="H1099" s="50"/>
    </row>
    <row r="1100" spans="1:8">
      <c r="A1100" s="20"/>
      <c r="B1100" s="20"/>
      <c r="C1100" s="20"/>
      <c r="D1100" s="20"/>
      <c r="E1100" s="20"/>
      <c r="F1100" s="48"/>
      <c r="G1100" s="49"/>
      <c r="H1100" s="50"/>
    </row>
    <row r="1101" spans="1:8">
      <c r="A1101" s="20"/>
      <c r="B1101" s="20"/>
      <c r="C1101" s="20"/>
      <c r="D1101" s="20"/>
      <c r="E1101" s="20"/>
      <c r="F1101" s="48"/>
      <c r="G1101" s="49"/>
      <c r="H1101" s="50"/>
    </row>
    <row r="1102" spans="1:8">
      <c r="A1102" s="20"/>
      <c r="B1102" s="20"/>
      <c r="C1102" s="20"/>
      <c r="D1102" s="20"/>
      <c r="E1102" s="20"/>
      <c r="F1102" s="48"/>
      <c r="G1102" s="49"/>
      <c r="H1102" s="50"/>
    </row>
    <row r="1103" spans="1:8">
      <c r="A1103" s="20"/>
      <c r="B1103" s="20"/>
      <c r="C1103" s="20"/>
      <c r="D1103" s="20"/>
      <c r="E1103" s="20"/>
      <c r="F1103" s="48"/>
      <c r="G1103" s="49"/>
      <c r="H1103" s="50"/>
    </row>
    <row r="1104" spans="1:8">
      <c r="A1104" s="20"/>
      <c r="B1104" s="20"/>
      <c r="C1104" s="20"/>
      <c r="D1104" s="20"/>
      <c r="E1104" s="20"/>
      <c r="F1104" s="48"/>
      <c r="G1104" s="49"/>
      <c r="H1104" s="50"/>
    </row>
    <row r="1105" spans="1:8">
      <c r="A1105" s="20"/>
      <c r="B1105" s="20"/>
      <c r="C1105" s="20"/>
      <c r="D1105" s="20"/>
      <c r="E1105" s="20"/>
      <c r="F1105" s="48"/>
      <c r="G1105" s="49"/>
      <c r="H1105" s="50"/>
    </row>
    <row r="1106" spans="1:8">
      <c r="A1106" s="20"/>
      <c r="B1106" s="20"/>
      <c r="C1106" s="20"/>
      <c r="D1106" s="20"/>
      <c r="E1106" s="20"/>
      <c r="F1106" s="48"/>
      <c r="G1106" s="49"/>
      <c r="H1106" s="50"/>
    </row>
    <row r="1107" spans="1:8">
      <c r="A1107" s="20"/>
      <c r="B1107" s="20"/>
      <c r="C1107" s="20"/>
      <c r="D1107" s="20"/>
      <c r="E1107" s="20"/>
      <c r="F1107" s="48"/>
      <c r="G1107" s="49"/>
      <c r="H1107" s="50"/>
    </row>
    <row r="1108" spans="1:8">
      <c r="A1108" s="20"/>
      <c r="B1108" s="20"/>
      <c r="C1108" s="20"/>
      <c r="D1108" s="20"/>
      <c r="E1108" s="20"/>
      <c r="F1108" s="48"/>
      <c r="G1108" s="49"/>
      <c r="H1108" s="50"/>
    </row>
    <row r="1109" spans="1:8">
      <c r="A1109" s="20"/>
      <c r="B1109" s="20"/>
      <c r="C1109" s="20"/>
      <c r="D1109" s="20"/>
      <c r="E1109" s="20"/>
      <c r="F1109" s="48"/>
      <c r="G1109" s="49"/>
      <c r="H1109" s="50"/>
    </row>
    <row r="1110" spans="1:8">
      <c r="A1110" s="20"/>
      <c r="B1110" s="20"/>
      <c r="C1110" s="20"/>
      <c r="D1110" s="20"/>
      <c r="E1110" s="20"/>
      <c r="F1110" s="48"/>
      <c r="G1110" s="49"/>
      <c r="H1110" s="50"/>
    </row>
    <row r="1111" spans="1:8">
      <c r="A1111" s="20"/>
      <c r="B1111" s="20"/>
      <c r="C1111" s="20"/>
      <c r="D1111" s="20"/>
      <c r="E1111" s="20"/>
      <c r="F1111" s="48"/>
      <c r="G1111" s="49"/>
      <c r="H1111" s="50"/>
    </row>
    <row r="1112" spans="1:8">
      <c r="A1112" s="20"/>
      <c r="B1112" s="20"/>
      <c r="C1112" s="20"/>
      <c r="D1112" s="20"/>
      <c r="E1112" s="20"/>
      <c r="F1112" s="48"/>
      <c r="G1112" s="49"/>
      <c r="H1112" s="50"/>
    </row>
    <row r="1113" spans="1:8">
      <c r="A1113" s="20"/>
      <c r="B1113" s="20"/>
      <c r="C1113" s="20"/>
      <c r="D1113" s="20"/>
      <c r="E1113" s="20"/>
      <c r="F1113" s="48"/>
      <c r="G1113" s="49"/>
      <c r="H1113" s="50"/>
    </row>
    <row r="1114" spans="1:8">
      <c r="A1114" s="20"/>
      <c r="B1114" s="20"/>
      <c r="C1114" s="20"/>
      <c r="D1114" s="20"/>
      <c r="E1114" s="20"/>
      <c r="F1114" s="48"/>
      <c r="G1114" s="49"/>
      <c r="H1114" s="50"/>
    </row>
    <row r="1115" spans="1:8">
      <c r="A1115" s="20"/>
      <c r="B1115" s="20"/>
      <c r="C1115" s="20"/>
      <c r="D1115" s="20"/>
      <c r="E1115" s="20"/>
      <c r="F1115" s="48"/>
      <c r="G1115" s="49"/>
      <c r="H1115" s="50"/>
    </row>
    <row r="1116" spans="1:8">
      <c r="A1116" s="20"/>
      <c r="B1116" s="20"/>
      <c r="C1116" s="20"/>
      <c r="D1116" s="20"/>
      <c r="E1116" s="20"/>
      <c r="F1116" s="48"/>
      <c r="G1116" s="49"/>
      <c r="H1116" s="50"/>
    </row>
    <row r="1117" spans="1:8">
      <c r="A1117" s="20"/>
      <c r="B1117" s="20"/>
      <c r="C1117" s="20"/>
      <c r="D1117" s="20"/>
      <c r="E1117" s="20"/>
      <c r="F1117" s="48"/>
      <c r="G1117" s="49"/>
      <c r="H1117" s="50"/>
    </row>
    <row r="1118" spans="1:8">
      <c r="A1118" s="20"/>
      <c r="B1118" s="20"/>
      <c r="C1118" s="20"/>
      <c r="D1118" s="20"/>
      <c r="E1118" s="20"/>
      <c r="F1118" s="48"/>
      <c r="G1118" s="49"/>
      <c r="H1118" s="50"/>
    </row>
    <row r="1119" spans="1:8">
      <c r="A1119" s="20"/>
      <c r="B1119" s="20"/>
      <c r="C1119" s="20"/>
      <c r="D1119" s="20"/>
      <c r="E1119" s="20"/>
      <c r="F1119" s="48"/>
      <c r="G1119" s="49"/>
      <c r="H1119" s="50"/>
    </row>
    <row r="1120" spans="1:8">
      <c r="A1120" s="20"/>
      <c r="B1120" s="20"/>
      <c r="C1120" s="20"/>
      <c r="D1120" s="20"/>
      <c r="E1120" s="20"/>
      <c r="F1120" s="48"/>
      <c r="G1120" s="49"/>
      <c r="H1120" s="50"/>
    </row>
    <row r="1121" spans="1:8">
      <c r="A1121" s="20"/>
      <c r="B1121" s="20"/>
      <c r="C1121" s="20"/>
      <c r="D1121" s="20"/>
      <c r="E1121" s="20"/>
      <c r="F1121" s="48"/>
      <c r="G1121" s="49"/>
      <c r="H1121" s="50"/>
    </row>
    <row r="1122" spans="1:8">
      <c r="A1122" s="20"/>
      <c r="B1122" s="20"/>
      <c r="C1122" s="20"/>
      <c r="D1122" s="20"/>
      <c r="E1122" s="20"/>
      <c r="F1122" s="48"/>
      <c r="G1122" s="49"/>
      <c r="H1122" s="50"/>
    </row>
    <row r="1123" spans="1:8">
      <c r="A1123" s="20"/>
      <c r="B1123" s="20"/>
      <c r="C1123" s="20"/>
      <c r="D1123" s="20"/>
      <c r="E1123" s="20"/>
      <c r="F1123" s="48"/>
      <c r="G1123" s="49"/>
      <c r="H1123" s="50"/>
    </row>
    <row r="1124" spans="1:8">
      <c r="A1124" s="20"/>
      <c r="B1124" s="20"/>
      <c r="C1124" s="20"/>
      <c r="D1124" s="20"/>
      <c r="E1124" s="20"/>
      <c r="F1124" s="48"/>
      <c r="G1124" s="49"/>
      <c r="H1124" s="50"/>
    </row>
    <row r="1125" spans="1:8">
      <c r="A1125" s="20"/>
      <c r="B1125" s="20"/>
      <c r="C1125" s="20"/>
      <c r="D1125" s="20"/>
      <c r="E1125" s="20"/>
      <c r="F1125" s="48"/>
      <c r="G1125" s="49"/>
      <c r="H1125" s="50"/>
    </row>
    <row r="1126" spans="1:8">
      <c r="A1126" s="20"/>
      <c r="B1126" s="20"/>
      <c r="C1126" s="20"/>
      <c r="D1126" s="20"/>
      <c r="E1126" s="20"/>
      <c r="F1126" s="48"/>
      <c r="G1126" s="49"/>
      <c r="H1126" s="50"/>
    </row>
    <row r="1127" spans="1:8">
      <c r="A1127" s="20"/>
      <c r="B1127" s="20"/>
      <c r="C1127" s="20"/>
      <c r="D1127" s="20"/>
      <c r="E1127" s="20"/>
      <c r="F1127" s="48"/>
      <c r="G1127" s="49"/>
      <c r="H1127" s="50"/>
    </row>
    <row r="1128" spans="1:8">
      <c r="A1128" s="20"/>
      <c r="B1128" s="20"/>
      <c r="C1128" s="20"/>
      <c r="D1128" s="20"/>
      <c r="E1128" s="20"/>
      <c r="F1128" s="48"/>
      <c r="G1128" s="49"/>
      <c r="H1128" s="50"/>
    </row>
    <row r="1129" spans="1:8">
      <c r="A1129" s="20"/>
      <c r="B1129" s="20"/>
      <c r="C1129" s="20"/>
      <c r="D1129" s="20"/>
      <c r="E1129" s="20"/>
      <c r="F1129" s="48"/>
      <c r="G1129" s="49"/>
      <c r="H1129" s="50"/>
    </row>
    <row r="1130" spans="1:8">
      <c r="A1130" s="20"/>
      <c r="B1130" s="20"/>
      <c r="C1130" s="20"/>
      <c r="D1130" s="20"/>
      <c r="E1130" s="20"/>
      <c r="F1130" s="48"/>
      <c r="G1130" s="49"/>
      <c r="H1130" s="50"/>
    </row>
    <row r="1131" spans="1:8">
      <c r="A1131" s="20"/>
      <c r="B1131" s="20"/>
      <c r="C1131" s="20"/>
      <c r="D1131" s="20"/>
      <c r="E1131" s="20"/>
      <c r="F1131" s="48"/>
      <c r="G1131" s="49"/>
      <c r="H1131" s="50"/>
    </row>
    <row r="1132" spans="1:8">
      <c r="A1132" s="20"/>
      <c r="B1132" s="20"/>
      <c r="C1132" s="20"/>
      <c r="D1132" s="20"/>
      <c r="E1132" s="20"/>
      <c r="F1132" s="48"/>
      <c r="G1132" s="49"/>
      <c r="H1132" s="50"/>
    </row>
    <row r="1133" spans="1:8">
      <c r="A1133" s="20"/>
      <c r="B1133" s="20"/>
      <c r="C1133" s="20"/>
      <c r="D1133" s="20"/>
      <c r="E1133" s="20"/>
      <c r="F1133" s="48"/>
      <c r="G1133" s="49"/>
      <c r="H1133" s="50"/>
    </row>
    <row r="1134" spans="1:8">
      <c r="A1134" s="20"/>
      <c r="B1134" s="20"/>
      <c r="C1134" s="20"/>
      <c r="D1134" s="20"/>
      <c r="E1134" s="20"/>
      <c r="F1134" s="48"/>
      <c r="G1134" s="49"/>
      <c r="H1134" s="50"/>
    </row>
    <row r="1135" spans="1:8">
      <c r="A1135" s="20"/>
      <c r="B1135" s="20"/>
      <c r="C1135" s="20"/>
      <c r="D1135" s="20"/>
      <c r="E1135" s="20"/>
      <c r="F1135" s="48"/>
      <c r="G1135" s="49"/>
      <c r="H1135" s="50"/>
    </row>
    <row r="1136" spans="1:8">
      <c r="A1136" s="20"/>
      <c r="B1136" s="20"/>
      <c r="C1136" s="20"/>
      <c r="D1136" s="20"/>
      <c r="E1136" s="20"/>
      <c r="F1136" s="48"/>
      <c r="G1136" s="49"/>
      <c r="H1136" s="50"/>
    </row>
    <row r="1137" spans="1:8">
      <c r="A1137" s="20"/>
      <c r="B1137" s="20"/>
      <c r="C1137" s="20"/>
      <c r="D1137" s="20"/>
      <c r="E1137" s="20"/>
      <c r="F1137" s="48"/>
      <c r="G1137" s="49"/>
      <c r="H1137" s="50"/>
    </row>
    <row r="1138" spans="1:8">
      <c r="A1138" s="20"/>
      <c r="B1138" s="20"/>
      <c r="C1138" s="20"/>
      <c r="D1138" s="20"/>
      <c r="E1138" s="20"/>
      <c r="F1138" s="48"/>
      <c r="G1138" s="49"/>
      <c r="H1138" s="50"/>
    </row>
    <row r="1139" spans="1:8">
      <c r="A1139" s="20"/>
      <c r="B1139" s="20"/>
      <c r="C1139" s="20"/>
      <c r="D1139" s="20"/>
      <c r="E1139" s="20"/>
      <c r="F1139" s="48"/>
      <c r="G1139" s="49"/>
      <c r="H1139" s="50"/>
    </row>
    <row r="1140" spans="1:8">
      <c r="A1140" s="20"/>
      <c r="B1140" s="20"/>
      <c r="C1140" s="20"/>
      <c r="D1140" s="20"/>
      <c r="E1140" s="20"/>
      <c r="F1140" s="48"/>
      <c r="G1140" s="49"/>
      <c r="H1140" s="50"/>
    </row>
    <row r="1141" spans="1:8">
      <c r="A1141" s="20"/>
      <c r="B1141" s="20"/>
      <c r="C1141" s="20"/>
      <c r="D1141" s="20"/>
      <c r="E1141" s="20"/>
      <c r="F1141" s="48"/>
      <c r="G1141" s="49"/>
      <c r="H1141" s="50"/>
    </row>
    <row r="1142" spans="1:8">
      <c r="A1142" s="20"/>
      <c r="B1142" s="20"/>
      <c r="C1142" s="20"/>
      <c r="D1142" s="20"/>
      <c r="E1142" s="20"/>
      <c r="F1142" s="48"/>
      <c r="G1142" s="49"/>
      <c r="H1142" s="50"/>
    </row>
    <row r="1143" spans="1:8">
      <c r="A1143" s="20"/>
      <c r="B1143" s="20"/>
      <c r="C1143" s="20"/>
      <c r="D1143" s="20"/>
      <c r="E1143" s="20"/>
      <c r="F1143" s="48"/>
      <c r="G1143" s="49"/>
      <c r="H1143" s="50"/>
    </row>
    <row r="1144" spans="1:8">
      <c r="A1144" s="20"/>
      <c r="B1144" s="20"/>
      <c r="C1144" s="20"/>
      <c r="D1144" s="20"/>
      <c r="E1144" s="20"/>
      <c r="F1144" s="48"/>
      <c r="G1144" s="49"/>
      <c r="H1144" s="50"/>
    </row>
    <row r="1145" spans="1:8">
      <c r="A1145" s="20"/>
      <c r="B1145" s="20"/>
      <c r="C1145" s="20"/>
      <c r="D1145" s="20"/>
      <c r="E1145" s="20"/>
      <c r="F1145" s="48"/>
      <c r="G1145" s="49"/>
      <c r="H1145" s="50"/>
    </row>
    <row r="1146" spans="1:8">
      <c r="A1146" s="20"/>
      <c r="B1146" s="20"/>
      <c r="C1146" s="20"/>
      <c r="D1146" s="20"/>
      <c r="E1146" s="20"/>
      <c r="F1146" s="48"/>
      <c r="G1146" s="49"/>
      <c r="H1146" s="50"/>
    </row>
    <row r="1147" spans="1:8">
      <c r="A1147" s="20"/>
      <c r="B1147" s="20"/>
      <c r="C1147" s="20"/>
      <c r="D1147" s="20"/>
      <c r="E1147" s="20"/>
      <c r="F1147" s="48"/>
      <c r="G1147" s="49"/>
      <c r="H1147" s="50"/>
    </row>
    <row r="1148" spans="1:8">
      <c r="A1148" s="20"/>
      <c r="B1148" s="20"/>
      <c r="C1148" s="20"/>
      <c r="D1148" s="20"/>
      <c r="E1148" s="20"/>
      <c r="F1148" s="48"/>
      <c r="G1148" s="49"/>
      <c r="H1148" s="50"/>
    </row>
    <row r="1149" spans="1:8">
      <c r="A1149" s="20"/>
      <c r="B1149" s="20"/>
      <c r="C1149" s="20"/>
      <c r="D1149" s="20"/>
      <c r="E1149" s="20"/>
      <c r="F1149" s="48"/>
      <c r="G1149" s="49"/>
      <c r="H1149" s="50"/>
    </row>
    <row r="1150" spans="1:8">
      <c r="A1150" s="20"/>
      <c r="B1150" s="20"/>
      <c r="C1150" s="20"/>
      <c r="D1150" s="20"/>
      <c r="E1150" s="20"/>
      <c r="F1150" s="48"/>
      <c r="G1150" s="49"/>
      <c r="H1150" s="50"/>
    </row>
    <row r="1151" spans="1:8">
      <c r="A1151" s="20"/>
      <c r="B1151" s="20"/>
      <c r="C1151" s="20"/>
      <c r="D1151" s="20"/>
      <c r="E1151" s="20"/>
      <c r="F1151" s="48"/>
      <c r="G1151" s="49"/>
      <c r="H1151" s="50"/>
    </row>
    <row r="1152" spans="1:8">
      <c r="A1152" s="20"/>
      <c r="B1152" s="20"/>
      <c r="C1152" s="20"/>
      <c r="D1152" s="20"/>
      <c r="E1152" s="20"/>
      <c r="F1152" s="48"/>
      <c r="G1152" s="49"/>
      <c r="H1152" s="50"/>
    </row>
    <row r="1153" spans="1:8">
      <c r="A1153" s="20"/>
      <c r="B1153" s="20"/>
      <c r="C1153" s="20"/>
      <c r="D1153" s="20"/>
      <c r="E1153" s="20"/>
      <c r="F1153" s="48"/>
      <c r="G1153" s="49"/>
      <c r="H1153" s="50"/>
    </row>
    <row r="1154" spans="1:8">
      <c r="A1154" s="20"/>
      <c r="B1154" s="20"/>
      <c r="C1154" s="20"/>
      <c r="D1154" s="20"/>
      <c r="E1154" s="20"/>
      <c r="F1154" s="48"/>
      <c r="G1154" s="49"/>
      <c r="H1154" s="50"/>
    </row>
    <row r="1155" spans="1:8">
      <c r="A1155" s="20"/>
      <c r="B1155" s="20"/>
      <c r="C1155" s="20"/>
      <c r="D1155" s="20"/>
      <c r="E1155" s="20"/>
      <c r="F1155" s="48"/>
      <c r="G1155" s="49"/>
      <c r="H1155" s="50"/>
    </row>
    <row r="1156" spans="1:8">
      <c r="A1156" s="20"/>
      <c r="B1156" s="20"/>
      <c r="C1156" s="20"/>
      <c r="D1156" s="20"/>
      <c r="E1156" s="20"/>
      <c r="F1156" s="48"/>
      <c r="G1156" s="49"/>
      <c r="H1156" s="50"/>
    </row>
    <row r="1157" spans="1:8">
      <c r="A1157" s="20"/>
      <c r="B1157" s="20"/>
      <c r="C1157" s="20"/>
      <c r="D1157" s="20"/>
      <c r="E1157" s="20"/>
      <c r="F1157" s="48"/>
      <c r="G1157" s="49"/>
      <c r="H1157" s="50"/>
    </row>
    <row r="1158" spans="1:8">
      <c r="A1158" s="20"/>
      <c r="B1158" s="20"/>
      <c r="C1158" s="20"/>
      <c r="D1158" s="20"/>
      <c r="E1158" s="20"/>
      <c r="F1158" s="48"/>
      <c r="G1158" s="49"/>
      <c r="H1158" s="50"/>
    </row>
    <row r="1159" spans="1:8">
      <c r="A1159" s="20"/>
      <c r="B1159" s="20"/>
      <c r="C1159" s="20"/>
      <c r="D1159" s="20"/>
      <c r="E1159" s="20"/>
      <c r="F1159" s="48"/>
      <c r="G1159" s="49"/>
      <c r="H1159" s="50"/>
    </row>
    <row r="1160" spans="1:8">
      <c r="A1160" s="20"/>
      <c r="B1160" s="20"/>
      <c r="C1160" s="20"/>
      <c r="D1160" s="20"/>
      <c r="E1160" s="20"/>
      <c r="F1160" s="48"/>
      <c r="G1160" s="49"/>
      <c r="H1160" s="50"/>
    </row>
    <row r="1161" spans="1:8">
      <c r="A1161" s="20"/>
      <c r="B1161" s="20"/>
      <c r="C1161" s="20"/>
      <c r="D1161" s="20"/>
      <c r="E1161" s="20"/>
      <c r="F1161" s="48"/>
      <c r="G1161" s="49"/>
      <c r="H1161" s="50"/>
    </row>
    <row r="1162" spans="1:8">
      <c r="A1162" s="20"/>
      <c r="B1162" s="20"/>
      <c r="C1162" s="20"/>
      <c r="D1162" s="20"/>
      <c r="E1162" s="20"/>
      <c r="F1162" s="48"/>
      <c r="G1162" s="49"/>
      <c r="H1162" s="50"/>
    </row>
    <row r="1163" spans="1:8">
      <c r="A1163" s="20"/>
      <c r="B1163" s="20"/>
      <c r="C1163" s="20"/>
      <c r="D1163" s="20"/>
      <c r="E1163" s="20"/>
      <c r="F1163" s="48"/>
      <c r="G1163" s="49"/>
      <c r="H1163" s="50"/>
    </row>
    <row r="1164" spans="1:8">
      <c r="A1164" s="20"/>
      <c r="B1164" s="20"/>
      <c r="C1164" s="20"/>
      <c r="D1164" s="20"/>
      <c r="E1164" s="20"/>
      <c r="F1164" s="48"/>
      <c r="G1164" s="49"/>
      <c r="H1164" s="50"/>
    </row>
    <row r="1165" spans="1:8">
      <c r="A1165" s="20"/>
      <c r="B1165" s="20"/>
      <c r="C1165" s="20"/>
      <c r="D1165" s="20"/>
      <c r="E1165" s="20"/>
      <c r="F1165" s="48"/>
      <c r="G1165" s="49"/>
      <c r="H1165" s="50"/>
    </row>
    <row r="1166" spans="1:8">
      <c r="A1166" s="20"/>
      <c r="B1166" s="20"/>
      <c r="C1166" s="20"/>
      <c r="D1166" s="20"/>
      <c r="E1166" s="20"/>
      <c r="F1166" s="48"/>
      <c r="G1166" s="49"/>
      <c r="H1166" s="50"/>
    </row>
    <row r="1167" spans="1:8">
      <c r="A1167" s="20"/>
      <c r="B1167" s="20"/>
      <c r="C1167" s="20"/>
      <c r="D1167" s="20"/>
      <c r="E1167" s="20"/>
      <c r="F1167" s="48"/>
      <c r="G1167" s="49"/>
      <c r="H1167" s="50"/>
    </row>
    <row r="1168" spans="1:8">
      <c r="A1168" s="20"/>
      <c r="B1168" s="20"/>
      <c r="C1168" s="20"/>
      <c r="D1168" s="20"/>
      <c r="E1168" s="20"/>
      <c r="F1168" s="48"/>
      <c r="G1168" s="49"/>
      <c r="H1168" s="50"/>
    </row>
    <row r="1169" spans="1:8">
      <c r="A1169" s="20"/>
      <c r="B1169" s="20"/>
      <c r="C1169" s="20"/>
      <c r="D1169" s="20"/>
      <c r="E1169" s="20"/>
      <c r="F1169" s="48"/>
      <c r="G1169" s="49"/>
      <c r="H1169" s="50"/>
    </row>
    <row r="1170" spans="1:8">
      <c r="A1170" s="20"/>
      <c r="B1170" s="20"/>
      <c r="C1170" s="20"/>
      <c r="D1170" s="20"/>
      <c r="E1170" s="20"/>
      <c r="F1170" s="48"/>
      <c r="G1170" s="49"/>
      <c r="H1170" s="50"/>
    </row>
    <row r="1171" spans="1:8">
      <c r="A1171" s="20"/>
      <c r="B1171" s="20"/>
      <c r="C1171" s="20"/>
      <c r="D1171" s="20"/>
      <c r="E1171" s="20"/>
      <c r="F1171" s="48"/>
      <c r="G1171" s="49"/>
      <c r="H1171" s="50"/>
    </row>
    <row r="1172" spans="1:8">
      <c r="A1172" s="20"/>
      <c r="B1172" s="20"/>
      <c r="C1172" s="20"/>
      <c r="D1172" s="20"/>
      <c r="E1172" s="20"/>
      <c r="F1172" s="48"/>
      <c r="G1172" s="49"/>
      <c r="H1172" s="50"/>
    </row>
    <row r="1173" spans="1:8">
      <c r="A1173" s="20"/>
      <c r="B1173" s="20"/>
      <c r="C1173" s="20"/>
      <c r="D1173" s="20"/>
      <c r="E1173" s="20"/>
      <c r="F1173" s="48"/>
      <c r="G1173" s="49"/>
      <c r="H1173" s="50"/>
    </row>
    <row r="1174" spans="1:8">
      <c r="A1174" s="20"/>
      <c r="B1174" s="20"/>
      <c r="C1174" s="20"/>
      <c r="D1174" s="20"/>
      <c r="E1174" s="20"/>
      <c r="F1174" s="48"/>
      <c r="G1174" s="49"/>
      <c r="H1174" s="50"/>
    </row>
    <row r="1175" spans="1:8">
      <c r="A1175" s="20"/>
      <c r="B1175" s="20"/>
      <c r="C1175" s="20"/>
      <c r="D1175" s="20"/>
      <c r="E1175" s="20"/>
      <c r="F1175" s="48"/>
      <c r="G1175" s="49"/>
      <c r="H1175" s="50"/>
    </row>
    <row r="1176" spans="1:8">
      <c r="A1176" s="20"/>
      <c r="B1176" s="20"/>
      <c r="C1176" s="20"/>
      <c r="D1176" s="20"/>
      <c r="E1176" s="20"/>
      <c r="F1176" s="48"/>
      <c r="G1176" s="49"/>
      <c r="H1176" s="50"/>
    </row>
    <row r="1177" spans="1:8">
      <c r="A1177" s="20"/>
      <c r="B1177" s="20"/>
      <c r="C1177" s="20"/>
      <c r="D1177" s="20"/>
      <c r="E1177" s="20"/>
      <c r="F1177" s="48"/>
      <c r="G1177" s="49"/>
      <c r="H1177" s="50"/>
    </row>
    <row r="1178" spans="1:8">
      <c r="A1178" s="20"/>
      <c r="B1178" s="20"/>
      <c r="C1178" s="20"/>
      <c r="D1178" s="20"/>
      <c r="E1178" s="20"/>
      <c r="F1178" s="48"/>
      <c r="G1178" s="49"/>
      <c r="H1178" s="50"/>
    </row>
    <row r="1179" spans="1:8">
      <c r="A1179" s="20"/>
      <c r="B1179" s="20"/>
      <c r="C1179" s="20"/>
      <c r="D1179" s="20"/>
      <c r="E1179" s="20"/>
      <c r="F1179" s="48"/>
      <c r="G1179" s="49"/>
      <c r="H1179" s="50"/>
    </row>
    <row r="1180" spans="1:8">
      <c r="A1180" s="20"/>
      <c r="B1180" s="20"/>
      <c r="C1180" s="20"/>
      <c r="D1180" s="20"/>
      <c r="E1180" s="20"/>
      <c r="F1180" s="48"/>
      <c r="G1180" s="49"/>
      <c r="H1180" s="50"/>
    </row>
    <row r="1181" spans="1:8">
      <c r="A1181" s="20"/>
      <c r="B1181" s="20"/>
      <c r="C1181" s="20"/>
      <c r="D1181" s="20"/>
      <c r="E1181" s="20"/>
      <c r="F1181" s="48"/>
      <c r="G1181" s="49"/>
      <c r="H1181" s="50"/>
    </row>
    <row r="1182" spans="1:8">
      <c r="A1182" s="20"/>
      <c r="B1182" s="20"/>
      <c r="C1182" s="20"/>
      <c r="D1182" s="20"/>
      <c r="E1182" s="20"/>
      <c r="F1182" s="48"/>
      <c r="G1182" s="49"/>
      <c r="H1182" s="50"/>
    </row>
    <row r="1183" spans="1:8">
      <c r="A1183" s="20"/>
      <c r="B1183" s="20"/>
      <c r="C1183" s="20"/>
      <c r="D1183" s="20"/>
      <c r="E1183" s="20"/>
      <c r="F1183" s="48"/>
      <c r="G1183" s="49"/>
      <c r="H1183" s="50"/>
    </row>
    <row r="1184" spans="1:8">
      <c r="A1184" s="20"/>
      <c r="B1184" s="20"/>
      <c r="C1184" s="20"/>
      <c r="D1184" s="20"/>
      <c r="E1184" s="20"/>
      <c r="F1184" s="48"/>
      <c r="G1184" s="49"/>
      <c r="H1184" s="50"/>
    </row>
    <row r="1185" spans="1:8">
      <c r="A1185" s="20"/>
      <c r="B1185" s="20"/>
      <c r="C1185" s="20"/>
      <c r="D1185" s="20"/>
      <c r="E1185" s="20"/>
      <c r="F1185" s="48"/>
      <c r="G1185" s="49"/>
      <c r="H1185" s="50"/>
    </row>
    <row r="1186" spans="1:8">
      <c r="A1186" s="20"/>
      <c r="B1186" s="20"/>
      <c r="C1186" s="20"/>
      <c r="D1186" s="20"/>
      <c r="E1186" s="20"/>
      <c r="F1186" s="48"/>
      <c r="G1186" s="49"/>
      <c r="H1186" s="50"/>
    </row>
    <row r="1187" spans="1:8">
      <c r="A1187" s="20"/>
      <c r="B1187" s="20"/>
      <c r="C1187" s="20"/>
      <c r="D1187" s="20"/>
      <c r="E1187" s="20"/>
      <c r="F1187" s="48"/>
      <c r="G1187" s="49"/>
      <c r="H1187" s="50"/>
    </row>
    <row r="1188" spans="1:8">
      <c r="A1188" s="20"/>
      <c r="B1188" s="20"/>
      <c r="C1188" s="20"/>
      <c r="D1188" s="20"/>
      <c r="E1188" s="20"/>
      <c r="F1188" s="48"/>
      <c r="G1188" s="49"/>
      <c r="H1188" s="50"/>
    </row>
    <row r="1189" spans="1:8">
      <c r="A1189" s="20"/>
      <c r="B1189" s="20"/>
      <c r="C1189" s="20"/>
      <c r="D1189" s="20"/>
      <c r="E1189" s="20"/>
      <c r="F1189" s="48"/>
      <c r="G1189" s="49"/>
      <c r="H1189" s="50"/>
    </row>
    <row r="1190" spans="1:8">
      <c r="A1190" s="20"/>
      <c r="B1190" s="20"/>
      <c r="C1190" s="20"/>
      <c r="D1190" s="20"/>
      <c r="E1190" s="20"/>
      <c r="F1190" s="48"/>
      <c r="G1190" s="49"/>
      <c r="H1190" s="50"/>
    </row>
    <row r="1191" spans="1:8">
      <c r="A1191" s="20"/>
      <c r="B1191" s="20"/>
      <c r="C1191" s="20"/>
      <c r="D1191" s="20"/>
      <c r="E1191" s="20"/>
      <c r="F1191" s="48"/>
      <c r="G1191" s="49"/>
      <c r="H1191" s="50"/>
    </row>
    <row r="1192" spans="1:8">
      <c r="A1192" s="20"/>
      <c r="B1192" s="20"/>
      <c r="C1192" s="20"/>
      <c r="D1192" s="20"/>
      <c r="E1192" s="20"/>
      <c r="F1192" s="48"/>
      <c r="G1192" s="49"/>
      <c r="H1192" s="50"/>
    </row>
    <row r="1193" spans="1:8">
      <c r="A1193" s="20"/>
      <c r="B1193" s="20"/>
      <c r="C1193" s="20"/>
      <c r="D1193" s="20"/>
      <c r="E1193" s="20"/>
      <c r="F1193" s="48"/>
      <c r="G1193" s="49"/>
      <c r="H1193" s="50"/>
    </row>
    <row r="1194" spans="1:8">
      <c r="A1194" s="20"/>
      <c r="B1194" s="20"/>
      <c r="C1194" s="20"/>
      <c r="D1194" s="20"/>
      <c r="E1194" s="20"/>
      <c r="F1194" s="48"/>
      <c r="G1194" s="49"/>
      <c r="H1194" s="50"/>
    </row>
    <row r="1195" spans="1:8">
      <c r="A1195" s="20"/>
      <c r="B1195" s="20"/>
      <c r="C1195" s="20"/>
      <c r="D1195" s="20"/>
      <c r="E1195" s="20"/>
      <c r="F1195" s="48"/>
      <c r="G1195" s="49"/>
      <c r="H1195" s="50"/>
    </row>
    <row r="1196" spans="1:8">
      <c r="A1196" s="20"/>
      <c r="B1196" s="20"/>
      <c r="C1196" s="20"/>
      <c r="D1196" s="20"/>
      <c r="E1196" s="20"/>
      <c r="F1196" s="48"/>
      <c r="G1196" s="49"/>
      <c r="H1196" s="50"/>
    </row>
    <row r="1197" spans="1:8">
      <c r="A1197" s="20"/>
      <c r="B1197" s="20"/>
      <c r="C1197" s="20"/>
      <c r="D1197" s="20"/>
      <c r="E1197" s="20"/>
      <c r="F1197" s="48"/>
      <c r="G1197" s="49"/>
      <c r="H1197" s="50"/>
    </row>
    <row r="1198" spans="1:8">
      <c r="A1198" s="20"/>
      <c r="B1198" s="20"/>
      <c r="C1198" s="20"/>
      <c r="D1198" s="20"/>
      <c r="E1198" s="20"/>
      <c r="F1198" s="48"/>
      <c r="G1198" s="49"/>
      <c r="H1198" s="50"/>
    </row>
    <row r="1199" spans="1:8">
      <c r="A1199" s="20"/>
      <c r="B1199" s="20"/>
      <c r="C1199" s="20"/>
      <c r="D1199" s="20"/>
      <c r="E1199" s="20"/>
      <c r="F1199" s="48"/>
      <c r="G1199" s="49"/>
      <c r="H1199" s="50"/>
    </row>
    <row r="1200" spans="1:8">
      <c r="A1200" s="20"/>
      <c r="B1200" s="20"/>
      <c r="C1200" s="20"/>
      <c r="D1200" s="20"/>
      <c r="E1200" s="20"/>
      <c r="F1200" s="48"/>
      <c r="G1200" s="49"/>
      <c r="H1200" s="50"/>
    </row>
    <row r="1201" spans="1:8">
      <c r="A1201" s="20"/>
      <c r="B1201" s="20"/>
      <c r="C1201" s="20"/>
      <c r="D1201" s="20"/>
      <c r="E1201" s="20"/>
      <c r="F1201" s="48"/>
      <c r="G1201" s="49"/>
      <c r="H1201" s="50"/>
    </row>
    <row r="1202" spans="1:8">
      <c r="A1202" s="20"/>
      <c r="B1202" s="20"/>
      <c r="C1202" s="20"/>
      <c r="D1202" s="20"/>
      <c r="E1202" s="20"/>
      <c r="F1202" s="48"/>
      <c r="G1202" s="49"/>
      <c r="H1202" s="50"/>
    </row>
    <row r="1203" spans="1:8">
      <c r="A1203" s="20"/>
      <c r="B1203" s="20"/>
      <c r="C1203" s="20"/>
      <c r="D1203" s="20"/>
      <c r="E1203" s="20"/>
      <c r="F1203" s="48"/>
      <c r="G1203" s="49"/>
      <c r="H1203" s="50"/>
    </row>
    <row r="1204" spans="1:8">
      <c r="A1204" s="20"/>
      <c r="B1204" s="20"/>
      <c r="C1204" s="20"/>
      <c r="D1204" s="20"/>
      <c r="E1204" s="20"/>
      <c r="F1204" s="48"/>
      <c r="G1204" s="49"/>
      <c r="H1204" s="50"/>
    </row>
    <row r="1205" spans="1:8">
      <c r="A1205" s="20"/>
      <c r="B1205" s="20"/>
      <c r="C1205" s="20"/>
      <c r="D1205" s="20"/>
      <c r="E1205" s="20"/>
      <c r="F1205" s="48"/>
      <c r="G1205" s="49"/>
      <c r="H1205" s="50"/>
    </row>
    <row r="1206" spans="1:8">
      <c r="A1206" s="20"/>
      <c r="B1206" s="20"/>
      <c r="C1206" s="20"/>
      <c r="D1206" s="20"/>
      <c r="E1206" s="20"/>
      <c r="F1206" s="48"/>
      <c r="G1206" s="49"/>
      <c r="H1206" s="50"/>
    </row>
    <row r="1207" spans="1:8">
      <c r="A1207" s="20"/>
      <c r="B1207" s="20"/>
      <c r="C1207" s="20"/>
      <c r="D1207" s="20"/>
      <c r="E1207" s="20"/>
      <c r="F1207" s="48"/>
      <c r="G1207" s="49"/>
      <c r="H1207" s="50"/>
    </row>
    <row r="1208" spans="1:8">
      <c r="A1208" s="20"/>
      <c r="B1208" s="20"/>
      <c r="C1208" s="20"/>
      <c r="D1208" s="20"/>
      <c r="E1208" s="20"/>
      <c r="F1208" s="48"/>
      <c r="G1208" s="49"/>
      <c r="H1208" s="50"/>
    </row>
    <row r="1209" spans="1:8">
      <c r="A1209" s="20"/>
      <c r="B1209" s="20"/>
      <c r="C1209" s="20"/>
      <c r="D1209" s="20"/>
      <c r="E1209" s="20"/>
      <c r="F1209" s="48"/>
      <c r="G1209" s="49"/>
      <c r="H1209" s="50"/>
    </row>
    <row r="1210" spans="1:8">
      <c r="A1210" s="20"/>
      <c r="B1210" s="20"/>
      <c r="C1210" s="20"/>
      <c r="D1210" s="20"/>
      <c r="E1210" s="20"/>
      <c r="F1210" s="48"/>
      <c r="G1210" s="49"/>
      <c r="H1210" s="50"/>
    </row>
    <row r="1211" spans="1:8">
      <c r="A1211" s="20"/>
      <c r="B1211" s="20"/>
      <c r="C1211" s="20"/>
      <c r="D1211" s="20"/>
      <c r="E1211" s="20"/>
      <c r="F1211" s="48"/>
      <c r="G1211" s="49"/>
      <c r="H1211" s="50"/>
    </row>
    <row r="1212" spans="1:8">
      <c r="A1212" s="20"/>
      <c r="B1212" s="20"/>
      <c r="C1212" s="20"/>
      <c r="D1212" s="20"/>
      <c r="E1212" s="20"/>
      <c r="F1212" s="48"/>
      <c r="G1212" s="49"/>
      <c r="H1212" s="50"/>
    </row>
    <row r="1213" spans="1:8">
      <c r="A1213" s="20"/>
      <c r="B1213" s="20"/>
      <c r="C1213" s="20"/>
      <c r="D1213" s="20"/>
      <c r="E1213" s="20"/>
      <c r="F1213" s="48"/>
      <c r="G1213" s="49"/>
      <c r="H1213" s="50"/>
    </row>
    <row r="1214" spans="1:8">
      <c r="A1214" s="20"/>
      <c r="B1214" s="20"/>
      <c r="C1214" s="20"/>
      <c r="D1214" s="20"/>
      <c r="E1214" s="20"/>
      <c r="F1214" s="48"/>
      <c r="G1214" s="49"/>
      <c r="H1214" s="50"/>
    </row>
    <row r="1215" spans="1:8">
      <c r="A1215" s="20"/>
      <c r="B1215" s="20"/>
      <c r="C1215" s="20"/>
      <c r="D1215" s="20"/>
      <c r="E1215" s="20"/>
      <c r="F1215" s="48"/>
      <c r="G1215" s="49"/>
      <c r="H1215" s="50"/>
    </row>
    <row r="1216" spans="1:8">
      <c r="A1216" s="20"/>
      <c r="B1216" s="20"/>
      <c r="C1216" s="20"/>
      <c r="D1216" s="20"/>
      <c r="E1216" s="20"/>
      <c r="F1216" s="48"/>
      <c r="G1216" s="49"/>
      <c r="H1216" s="50"/>
    </row>
    <row r="1217" spans="1:8">
      <c r="A1217" s="20"/>
      <c r="B1217" s="20"/>
      <c r="C1217" s="20"/>
      <c r="D1217" s="20"/>
      <c r="E1217" s="20"/>
      <c r="F1217" s="48"/>
      <c r="G1217" s="49"/>
      <c r="H1217" s="50"/>
    </row>
    <row r="1218" spans="1:8">
      <c r="A1218" s="20"/>
      <c r="B1218" s="20"/>
      <c r="C1218" s="20"/>
      <c r="D1218" s="20"/>
      <c r="E1218" s="20"/>
      <c r="F1218" s="48"/>
      <c r="G1218" s="49"/>
      <c r="H1218" s="50"/>
    </row>
    <row r="1219" spans="1:8">
      <c r="A1219" s="20"/>
      <c r="B1219" s="20"/>
      <c r="C1219" s="20"/>
      <c r="D1219" s="20"/>
      <c r="E1219" s="20"/>
      <c r="F1219" s="48"/>
      <c r="G1219" s="49"/>
      <c r="H1219" s="50"/>
    </row>
    <row r="1220" spans="1:8">
      <c r="A1220" s="20"/>
      <c r="B1220" s="20"/>
      <c r="C1220" s="20"/>
      <c r="D1220" s="20"/>
      <c r="E1220" s="20"/>
      <c r="F1220" s="48"/>
      <c r="G1220" s="49"/>
      <c r="H1220" s="50"/>
    </row>
    <row r="1221" spans="1:8">
      <c r="A1221" s="20"/>
      <c r="B1221" s="20"/>
      <c r="C1221" s="20"/>
      <c r="D1221" s="20"/>
      <c r="E1221" s="20"/>
      <c r="F1221" s="48"/>
      <c r="G1221" s="49"/>
      <c r="H1221" s="50"/>
    </row>
    <row r="1222" spans="1:8">
      <c r="A1222" s="20"/>
      <c r="B1222" s="20"/>
      <c r="C1222" s="20"/>
      <c r="D1222" s="20"/>
      <c r="E1222" s="20"/>
      <c r="F1222" s="48"/>
      <c r="G1222" s="49"/>
      <c r="H1222" s="50"/>
    </row>
    <row r="1223" spans="1:8">
      <c r="A1223" s="20"/>
      <c r="B1223" s="20"/>
      <c r="C1223" s="20"/>
      <c r="D1223" s="20"/>
      <c r="E1223" s="20"/>
      <c r="F1223" s="48"/>
      <c r="G1223" s="49"/>
      <c r="H1223" s="50"/>
    </row>
    <row r="1224" spans="1:8">
      <c r="A1224" s="20"/>
      <c r="B1224" s="20"/>
      <c r="C1224" s="20"/>
      <c r="D1224" s="20"/>
      <c r="E1224" s="20"/>
      <c r="F1224" s="48"/>
      <c r="G1224" s="49"/>
      <c r="H1224" s="50"/>
    </row>
    <row r="1225" spans="1:8">
      <c r="A1225" s="20"/>
      <c r="B1225" s="20"/>
      <c r="C1225" s="20"/>
      <c r="D1225" s="20"/>
      <c r="E1225" s="20"/>
      <c r="F1225" s="48"/>
      <c r="G1225" s="49"/>
      <c r="H1225" s="50"/>
    </row>
    <row r="1226" spans="1:8">
      <c r="A1226" s="20"/>
      <c r="B1226" s="20"/>
      <c r="C1226" s="20"/>
      <c r="D1226" s="20"/>
      <c r="E1226" s="20"/>
      <c r="F1226" s="48"/>
      <c r="G1226" s="49"/>
      <c r="H1226" s="50"/>
    </row>
    <row r="1227" spans="1:8">
      <c r="A1227" s="20"/>
      <c r="B1227" s="20"/>
      <c r="C1227" s="20"/>
      <c r="D1227" s="20"/>
      <c r="E1227" s="20"/>
      <c r="F1227" s="48"/>
      <c r="G1227" s="49"/>
      <c r="H1227" s="50"/>
    </row>
    <row r="1228" spans="1:8">
      <c r="A1228" s="20"/>
      <c r="B1228" s="20"/>
      <c r="C1228" s="20"/>
      <c r="D1228" s="20"/>
      <c r="E1228" s="20"/>
      <c r="F1228" s="48"/>
      <c r="G1228" s="49"/>
      <c r="H1228" s="50"/>
    </row>
    <row r="1229" spans="1:8">
      <c r="A1229" s="20"/>
      <c r="B1229" s="20"/>
      <c r="C1229" s="20"/>
      <c r="D1229" s="20"/>
      <c r="E1229" s="20"/>
      <c r="F1229" s="48"/>
      <c r="G1229" s="49"/>
      <c r="H1229" s="50"/>
    </row>
    <row r="1230" spans="1:8">
      <c r="A1230" s="20"/>
      <c r="B1230" s="20"/>
      <c r="C1230" s="20"/>
      <c r="D1230" s="20"/>
      <c r="E1230" s="20"/>
      <c r="F1230" s="48"/>
      <c r="G1230" s="49"/>
      <c r="H1230" s="50"/>
    </row>
    <row r="1231" spans="1:8">
      <c r="A1231" s="20"/>
      <c r="B1231" s="20"/>
      <c r="C1231" s="20"/>
      <c r="D1231" s="20"/>
      <c r="E1231" s="20"/>
      <c r="F1231" s="48"/>
      <c r="G1231" s="49"/>
      <c r="H1231" s="50"/>
    </row>
    <row r="1232" spans="1:8">
      <c r="A1232" s="20"/>
      <c r="B1232" s="20"/>
      <c r="C1232" s="20"/>
      <c r="D1232" s="20"/>
      <c r="E1232" s="20"/>
      <c r="F1232" s="48"/>
      <c r="G1232" s="49"/>
      <c r="H1232" s="50"/>
    </row>
    <row r="1233" spans="1:8">
      <c r="A1233" s="20"/>
      <c r="B1233" s="20"/>
      <c r="C1233" s="20"/>
      <c r="D1233" s="20"/>
      <c r="E1233" s="20"/>
      <c r="F1233" s="48"/>
      <c r="G1233" s="49"/>
      <c r="H1233" s="50"/>
    </row>
    <row r="1234" spans="1:8">
      <c r="A1234" s="20"/>
      <c r="B1234" s="20"/>
      <c r="C1234" s="20"/>
      <c r="D1234" s="20"/>
      <c r="E1234" s="20"/>
      <c r="F1234" s="48"/>
      <c r="G1234" s="49"/>
      <c r="H1234" s="50"/>
    </row>
    <row r="1235" spans="1:8">
      <c r="A1235" s="20"/>
      <c r="B1235" s="20"/>
      <c r="C1235" s="20"/>
      <c r="D1235" s="20"/>
      <c r="E1235" s="20"/>
      <c r="F1235" s="48"/>
      <c r="G1235" s="49"/>
      <c r="H1235" s="50"/>
    </row>
    <row r="1236" spans="1:8">
      <c r="A1236" s="20"/>
      <c r="B1236" s="20"/>
      <c r="C1236" s="20"/>
      <c r="D1236" s="20"/>
      <c r="E1236" s="20"/>
      <c r="F1236" s="48"/>
      <c r="G1236" s="49"/>
      <c r="H1236" s="50"/>
    </row>
    <row r="1237" spans="1:8">
      <c r="A1237" s="20"/>
      <c r="B1237" s="20"/>
      <c r="C1237" s="20"/>
      <c r="D1237" s="20"/>
      <c r="E1237" s="20"/>
      <c r="F1237" s="48"/>
      <c r="G1237" s="49"/>
      <c r="H1237" s="50"/>
    </row>
    <row r="1238" spans="1:8">
      <c r="A1238" s="20"/>
      <c r="B1238" s="20"/>
      <c r="C1238" s="20"/>
      <c r="D1238" s="20"/>
      <c r="E1238" s="20"/>
      <c r="F1238" s="48"/>
      <c r="G1238" s="49"/>
      <c r="H1238" s="50"/>
    </row>
    <row r="1239" spans="1:8">
      <c r="A1239" s="20"/>
      <c r="B1239" s="20"/>
      <c r="C1239" s="20"/>
      <c r="D1239" s="20"/>
      <c r="E1239" s="20"/>
      <c r="F1239" s="48"/>
      <c r="G1239" s="49"/>
      <c r="H1239" s="50"/>
    </row>
    <row r="1240" spans="1:8">
      <c r="A1240" s="20"/>
      <c r="B1240" s="20"/>
      <c r="C1240" s="20"/>
      <c r="D1240" s="20"/>
      <c r="E1240" s="20"/>
      <c r="F1240" s="48"/>
      <c r="G1240" s="49"/>
      <c r="H1240" s="50"/>
    </row>
    <row r="1241" spans="1:8">
      <c r="A1241" s="20"/>
      <c r="B1241" s="20"/>
      <c r="C1241" s="20"/>
      <c r="D1241" s="20"/>
      <c r="E1241" s="20"/>
      <c r="F1241" s="48"/>
      <c r="G1241" s="49"/>
      <c r="H1241" s="50"/>
    </row>
    <row r="1242" spans="1:8">
      <c r="A1242" s="20"/>
      <c r="B1242" s="20"/>
      <c r="C1242" s="20"/>
      <c r="D1242" s="20"/>
      <c r="E1242" s="20"/>
      <c r="F1242" s="48"/>
      <c r="G1242" s="49"/>
      <c r="H1242" s="50"/>
    </row>
    <row r="1243" spans="1:8">
      <c r="A1243" s="20"/>
      <c r="B1243" s="20"/>
      <c r="C1243" s="20"/>
      <c r="D1243" s="20"/>
      <c r="E1243" s="20"/>
      <c r="F1243" s="48"/>
      <c r="G1243" s="49"/>
      <c r="H1243" s="50"/>
    </row>
    <row r="1244" spans="1:8">
      <c r="A1244" s="20"/>
      <c r="B1244" s="20"/>
      <c r="C1244" s="20"/>
      <c r="D1244" s="20"/>
      <c r="E1244" s="20"/>
      <c r="F1244" s="48"/>
      <c r="G1244" s="49"/>
      <c r="H1244" s="50"/>
    </row>
    <row r="1245" spans="1:8">
      <c r="A1245" s="20"/>
      <c r="B1245" s="20"/>
      <c r="C1245" s="20"/>
      <c r="D1245" s="20"/>
      <c r="E1245" s="20"/>
      <c r="F1245" s="48"/>
      <c r="G1245" s="49"/>
      <c r="H1245" s="50"/>
    </row>
    <row r="1246" spans="1:8">
      <c r="A1246" s="20"/>
      <c r="B1246" s="20"/>
      <c r="C1246" s="20"/>
      <c r="D1246" s="20"/>
      <c r="E1246" s="20"/>
      <c r="F1246" s="48"/>
      <c r="G1246" s="49"/>
      <c r="H1246" s="50"/>
    </row>
    <row r="1247" spans="1:8">
      <c r="A1247" s="20"/>
      <c r="B1247" s="20"/>
      <c r="C1247" s="20"/>
      <c r="D1247" s="20"/>
      <c r="E1247" s="20"/>
      <c r="F1247" s="48"/>
      <c r="G1247" s="49"/>
      <c r="H1247" s="50"/>
    </row>
    <row r="1248" spans="1:8">
      <c r="A1248" s="20"/>
      <c r="B1248" s="20"/>
      <c r="C1248" s="20"/>
      <c r="D1248" s="20"/>
      <c r="E1248" s="20"/>
      <c r="F1248" s="48"/>
      <c r="G1248" s="49"/>
      <c r="H1248" s="50"/>
    </row>
    <row r="1249" spans="1:8">
      <c r="A1249" s="20"/>
      <c r="B1249" s="20"/>
      <c r="C1249" s="20"/>
      <c r="D1249" s="20"/>
      <c r="E1249" s="20"/>
      <c r="F1249" s="48"/>
      <c r="G1249" s="49"/>
      <c r="H1249" s="50"/>
    </row>
    <row r="1250" spans="1:8">
      <c r="A1250" s="20"/>
      <c r="B1250" s="20"/>
      <c r="C1250" s="20"/>
      <c r="D1250" s="20"/>
      <c r="E1250" s="20"/>
      <c r="F1250" s="48"/>
      <c r="G1250" s="49"/>
      <c r="H1250" s="50"/>
    </row>
    <row r="1251" spans="1:8">
      <c r="A1251" s="20"/>
      <c r="B1251" s="20"/>
      <c r="C1251" s="20"/>
      <c r="D1251" s="20"/>
      <c r="E1251" s="20"/>
      <c r="F1251" s="48"/>
      <c r="G1251" s="49"/>
      <c r="H1251" s="50"/>
    </row>
    <row r="1252" spans="1:8">
      <c r="A1252" s="20"/>
      <c r="B1252" s="20"/>
      <c r="C1252" s="20"/>
      <c r="D1252" s="20"/>
      <c r="E1252" s="20"/>
      <c r="F1252" s="48"/>
      <c r="G1252" s="49"/>
      <c r="H1252" s="50"/>
    </row>
    <row r="1253" spans="1:8">
      <c r="A1253" s="20"/>
      <c r="B1253" s="20"/>
      <c r="C1253" s="20"/>
      <c r="D1253" s="20"/>
      <c r="E1253" s="20"/>
      <c r="F1253" s="48"/>
      <c r="G1253" s="49"/>
      <c r="H1253" s="50"/>
    </row>
    <row r="1254" spans="1:8">
      <c r="A1254" s="20"/>
      <c r="B1254" s="20"/>
      <c r="C1254" s="20"/>
      <c r="D1254" s="20"/>
      <c r="E1254" s="20"/>
      <c r="F1254" s="48"/>
      <c r="G1254" s="49"/>
      <c r="H1254" s="50"/>
    </row>
    <row r="1255" spans="1:8">
      <c r="A1255" s="20"/>
      <c r="B1255" s="20"/>
      <c r="C1255" s="20"/>
      <c r="D1255" s="20"/>
      <c r="E1255" s="20"/>
      <c r="F1255" s="48"/>
      <c r="G1255" s="49"/>
      <c r="H1255" s="50"/>
    </row>
    <row r="1256" spans="1:8">
      <c r="A1256" s="20"/>
      <c r="B1256" s="20"/>
      <c r="C1256" s="20"/>
      <c r="D1256" s="20"/>
      <c r="E1256" s="20"/>
      <c r="F1256" s="48"/>
      <c r="G1256" s="49"/>
      <c r="H1256" s="50"/>
    </row>
    <row r="1257" spans="1:8">
      <c r="A1257" s="20"/>
      <c r="B1257" s="20"/>
      <c r="C1257" s="20"/>
      <c r="D1257" s="20"/>
      <c r="E1257" s="20"/>
      <c r="F1257" s="48"/>
      <c r="G1257" s="49"/>
      <c r="H1257" s="50"/>
    </row>
    <row r="1258" spans="1:8">
      <c r="A1258" s="20"/>
      <c r="B1258" s="20"/>
      <c r="C1258" s="20"/>
      <c r="D1258" s="20"/>
      <c r="E1258" s="20"/>
      <c r="F1258" s="48"/>
      <c r="G1258" s="49"/>
      <c r="H1258" s="50"/>
    </row>
    <row r="1259" spans="1:8">
      <c r="A1259" s="20"/>
      <c r="B1259" s="20"/>
      <c r="C1259" s="20"/>
      <c r="D1259" s="20"/>
      <c r="E1259" s="20"/>
      <c r="F1259" s="48"/>
      <c r="G1259" s="49"/>
      <c r="H1259" s="50"/>
    </row>
    <row r="1260" spans="1:8">
      <c r="A1260" s="20"/>
      <c r="B1260" s="20"/>
      <c r="C1260" s="20"/>
      <c r="D1260" s="20"/>
      <c r="E1260" s="20"/>
      <c r="F1260" s="48"/>
      <c r="G1260" s="49"/>
      <c r="H1260" s="50"/>
    </row>
    <row r="1261" spans="1:8">
      <c r="A1261" s="20"/>
      <c r="B1261" s="20"/>
      <c r="C1261" s="20"/>
      <c r="D1261" s="20"/>
      <c r="E1261" s="20"/>
      <c r="F1261" s="48"/>
      <c r="G1261" s="49"/>
      <c r="H1261" s="50"/>
    </row>
    <row r="1262" spans="1:8">
      <c r="A1262" s="20"/>
      <c r="B1262" s="20"/>
      <c r="C1262" s="20"/>
      <c r="D1262" s="20"/>
      <c r="E1262" s="20"/>
      <c r="F1262" s="48"/>
      <c r="G1262" s="49"/>
      <c r="H1262" s="50"/>
    </row>
    <row r="1263" spans="1:8">
      <c r="A1263" s="20"/>
      <c r="B1263" s="20"/>
      <c r="C1263" s="20"/>
      <c r="D1263" s="20"/>
      <c r="E1263" s="20"/>
      <c r="F1263" s="48"/>
      <c r="G1263" s="49"/>
      <c r="H1263" s="50"/>
    </row>
    <row r="1264" spans="1:8">
      <c r="A1264" s="20"/>
      <c r="B1264" s="20"/>
      <c r="C1264" s="20"/>
      <c r="D1264" s="20"/>
      <c r="E1264" s="20"/>
      <c r="F1264" s="48"/>
      <c r="G1264" s="49"/>
      <c r="H1264" s="50"/>
    </row>
    <row r="1265" spans="1:8">
      <c r="A1265" s="20"/>
      <c r="B1265" s="20"/>
      <c r="C1265" s="20"/>
      <c r="D1265" s="20"/>
      <c r="E1265" s="20"/>
      <c r="F1265" s="48"/>
      <c r="G1265" s="49"/>
      <c r="H1265" s="50"/>
    </row>
    <row r="1266" spans="1:8">
      <c r="A1266" s="20"/>
      <c r="B1266" s="20"/>
      <c r="C1266" s="20"/>
      <c r="D1266" s="20"/>
      <c r="E1266" s="20"/>
      <c r="F1266" s="48"/>
      <c r="G1266" s="49"/>
      <c r="H1266" s="50"/>
    </row>
    <row r="1267" spans="1:8">
      <c r="A1267" s="20"/>
      <c r="B1267" s="20"/>
      <c r="C1267" s="20"/>
      <c r="D1267" s="20"/>
      <c r="E1267" s="20"/>
      <c r="F1267" s="48"/>
      <c r="G1267" s="49"/>
      <c r="H1267" s="50"/>
    </row>
    <row r="1268" spans="1:8">
      <c r="A1268" s="20"/>
      <c r="B1268" s="20"/>
      <c r="C1268" s="20"/>
      <c r="D1268" s="20"/>
      <c r="E1268" s="20"/>
      <c r="F1268" s="48"/>
      <c r="G1268" s="49"/>
      <c r="H1268" s="50"/>
    </row>
    <row r="1269" spans="1:8">
      <c r="A1269" s="20"/>
      <c r="B1269" s="20"/>
      <c r="C1269" s="20"/>
      <c r="D1269" s="20"/>
      <c r="E1269" s="20"/>
      <c r="F1269" s="48"/>
      <c r="G1269" s="49"/>
      <c r="H1269" s="50"/>
    </row>
    <row r="1270" spans="1:8">
      <c r="A1270" s="20"/>
      <c r="B1270" s="20"/>
      <c r="C1270" s="20"/>
      <c r="D1270" s="20"/>
      <c r="E1270" s="20"/>
      <c r="F1270" s="48"/>
      <c r="G1270" s="49"/>
      <c r="H1270" s="50"/>
    </row>
    <row r="1271" spans="1:8">
      <c r="A1271" s="20"/>
      <c r="B1271" s="20"/>
      <c r="C1271" s="20"/>
      <c r="D1271" s="20"/>
      <c r="E1271" s="20"/>
      <c r="F1271" s="48"/>
      <c r="G1271" s="49"/>
      <c r="H1271" s="50"/>
    </row>
    <row r="1272" spans="1:8">
      <c r="A1272" s="20"/>
      <c r="B1272" s="20"/>
      <c r="C1272" s="20"/>
      <c r="D1272" s="20"/>
      <c r="E1272" s="20"/>
      <c r="F1272" s="48"/>
      <c r="G1272" s="49"/>
      <c r="H1272" s="50"/>
    </row>
    <row r="1273" spans="1:8">
      <c r="A1273" s="20"/>
      <c r="B1273" s="20"/>
      <c r="C1273" s="20"/>
      <c r="D1273" s="20"/>
      <c r="E1273" s="20"/>
      <c r="F1273" s="48"/>
      <c r="G1273" s="49"/>
      <c r="H1273" s="50"/>
    </row>
    <row r="1274" spans="1:8">
      <c r="A1274" s="20"/>
      <c r="B1274" s="20"/>
      <c r="C1274" s="20"/>
      <c r="D1274" s="20"/>
      <c r="E1274" s="20"/>
      <c r="F1274" s="48"/>
      <c r="G1274" s="49"/>
      <c r="H1274" s="50"/>
    </row>
    <row r="1275" spans="1:8">
      <c r="A1275" s="20"/>
      <c r="B1275" s="20"/>
      <c r="C1275" s="20"/>
      <c r="D1275" s="20"/>
      <c r="E1275" s="20"/>
      <c r="F1275" s="48"/>
      <c r="G1275" s="49"/>
      <c r="H1275" s="50"/>
    </row>
    <row r="1276" spans="1:8">
      <c r="A1276" s="20"/>
      <c r="B1276" s="20"/>
      <c r="C1276" s="20"/>
      <c r="D1276" s="20"/>
      <c r="E1276" s="20"/>
      <c r="F1276" s="48"/>
      <c r="G1276" s="49"/>
      <c r="H1276" s="50"/>
    </row>
    <row r="1277" spans="1:8">
      <c r="A1277" s="20"/>
      <c r="B1277" s="20"/>
      <c r="C1277" s="20"/>
      <c r="D1277" s="20"/>
      <c r="E1277" s="20"/>
      <c r="F1277" s="48"/>
      <c r="G1277" s="49"/>
      <c r="H1277" s="50"/>
    </row>
    <row r="1278" spans="1:8">
      <c r="A1278" s="20"/>
      <c r="B1278" s="20"/>
      <c r="C1278" s="20"/>
      <c r="D1278" s="20"/>
      <c r="E1278" s="20"/>
      <c r="F1278" s="48"/>
      <c r="G1278" s="49"/>
      <c r="H1278" s="50"/>
    </row>
    <row r="1279" spans="1:8">
      <c r="A1279" s="20"/>
      <c r="B1279" s="20"/>
      <c r="C1279" s="20"/>
      <c r="D1279" s="20"/>
      <c r="E1279" s="20"/>
      <c r="F1279" s="48"/>
      <c r="G1279" s="49"/>
      <c r="H1279" s="50"/>
    </row>
    <row r="1280" spans="1:8">
      <c r="A1280" s="20"/>
      <c r="B1280" s="20"/>
      <c r="C1280" s="20"/>
      <c r="D1280" s="20"/>
      <c r="E1280" s="20"/>
      <c r="F1280" s="48"/>
      <c r="G1280" s="49"/>
      <c r="H1280" s="50"/>
    </row>
    <row r="1281" spans="1:8">
      <c r="A1281" s="20"/>
      <c r="B1281" s="20"/>
      <c r="C1281" s="20"/>
      <c r="D1281" s="20"/>
      <c r="E1281" s="20"/>
      <c r="F1281" s="48"/>
      <c r="G1281" s="49"/>
      <c r="H1281" s="50"/>
    </row>
    <row r="1282" spans="1:8">
      <c r="A1282" s="20"/>
      <c r="B1282" s="20"/>
      <c r="C1282" s="20"/>
      <c r="D1282" s="20"/>
      <c r="E1282" s="20"/>
      <c r="F1282" s="48"/>
      <c r="G1282" s="49"/>
      <c r="H1282" s="50"/>
    </row>
    <row r="1283" spans="1:8">
      <c r="A1283" s="20"/>
      <c r="B1283" s="20"/>
      <c r="C1283" s="20"/>
      <c r="D1283" s="20"/>
      <c r="E1283" s="20"/>
      <c r="F1283" s="48"/>
      <c r="G1283" s="49"/>
      <c r="H1283" s="50"/>
    </row>
    <row r="1284" spans="1:8">
      <c r="A1284" s="20"/>
      <c r="B1284" s="20"/>
      <c r="C1284" s="20"/>
      <c r="D1284" s="20"/>
      <c r="E1284" s="20"/>
      <c r="F1284" s="48"/>
      <c r="G1284" s="49"/>
      <c r="H1284" s="50"/>
    </row>
    <row r="1285" spans="1:8">
      <c r="A1285" s="20"/>
      <c r="B1285" s="20"/>
      <c r="C1285" s="20"/>
      <c r="D1285" s="20"/>
      <c r="E1285" s="20"/>
      <c r="F1285" s="48"/>
      <c r="G1285" s="49"/>
      <c r="H1285" s="50"/>
    </row>
    <row r="1286" spans="1:8">
      <c r="A1286" s="20"/>
      <c r="B1286" s="20"/>
      <c r="C1286" s="20"/>
      <c r="D1286" s="20"/>
      <c r="E1286" s="20"/>
      <c r="F1286" s="48"/>
      <c r="G1286" s="49"/>
      <c r="H1286" s="50"/>
    </row>
    <row r="1287" spans="1:8">
      <c r="A1287" s="20"/>
      <c r="B1287" s="20"/>
      <c r="C1287" s="20"/>
      <c r="D1287" s="20"/>
      <c r="E1287" s="20"/>
      <c r="F1287" s="48"/>
      <c r="G1287" s="49"/>
      <c r="H1287" s="50"/>
    </row>
    <row r="1288" spans="1:8">
      <c r="A1288" s="20"/>
      <c r="B1288" s="20"/>
      <c r="C1288" s="20"/>
      <c r="D1288" s="20"/>
      <c r="E1288" s="20"/>
      <c r="F1288" s="48"/>
      <c r="G1288" s="49"/>
      <c r="H1288" s="50"/>
    </row>
    <row r="1289" spans="1:8">
      <c r="A1289" s="20"/>
      <c r="B1289" s="20"/>
      <c r="C1289" s="20"/>
      <c r="D1289" s="20"/>
      <c r="E1289" s="20"/>
      <c r="F1289" s="48"/>
      <c r="G1289" s="49"/>
      <c r="H1289" s="50"/>
    </row>
    <row r="1290" spans="1:8">
      <c r="A1290" s="20"/>
      <c r="B1290" s="20"/>
      <c r="C1290" s="20"/>
      <c r="D1290" s="20"/>
      <c r="E1290" s="20"/>
      <c r="F1290" s="48"/>
      <c r="G1290" s="49"/>
      <c r="H1290" s="50"/>
    </row>
    <row r="1291" spans="1:8">
      <c r="A1291" s="20"/>
      <c r="B1291" s="20"/>
      <c r="C1291" s="20"/>
      <c r="D1291" s="20"/>
      <c r="E1291" s="20"/>
      <c r="F1291" s="48"/>
      <c r="G1291" s="49"/>
      <c r="H1291" s="50"/>
    </row>
    <row r="1292" spans="1:8">
      <c r="A1292" s="20"/>
      <c r="B1292" s="20"/>
      <c r="C1292" s="20"/>
      <c r="D1292" s="20"/>
      <c r="E1292" s="20"/>
      <c r="F1292" s="48"/>
      <c r="G1292" s="49"/>
      <c r="H1292" s="50"/>
    </row>
    <row r="1293" spans="1:8">
      <c r="A1293" s="20"/>
      <c r="B1293" s="20"/>
      <c r="C1293" s="20"/>
      <c r="D1293" s="20"/>
      <c r="E1293" s="20"/>
      <c r="F1293" s="48"/>
      <c r="G1293" s="49"/>
      <c r="H1293" s="50"/>
    </row>
    <row r="1294" spans="1:8">
      <c r="A1294" s="20"/>
      <c r="B1294" s="20"/>
      <c r="C1294" s="20"/>
      <c r="D1294" s="20"/>
      <c r="E1294" s="20"/>
      <c r="F1294" s="48"/>
      <c r="G1294" s="49"/>
      <c r="H1294" s="50"/>
    </row>
    <row r="1295" spans="1:8">
      <c r="A1295" s="20"/>
      <c r="B1295" s="20"/>
      <c r="C1295" s="20"/>
      <c r="D1295" s="20"/>
      <c r="E1295" s="20"/>
      <c r="F1295" s="48"/>
      <c r="G1295" s="49"/>
      <c r="H1295" s="50"/>
    </row>
    <row r="1296" spans="1:8">
      <c r="A1296" s="20"/>
      <c r="B1296" s="20"/>
      <c r="C1296" s="20"/>
      <c r="D1296" s="20"/>
      <c r="E1296" s="20"/>
      <c r="F1296" s="48"/>
      <c r="G1296" s="49"/>
      <c r="H1296" s="50"/>
    </row>
    <row r="1297" spans="1:8">
      <c r="A1297" s="20"/>
      <c r="B1297" s="20"/>
      <c r="C1297" s="20"/>
      <c r="D1297" s="20"/>
      <c r="E1297" s="20"/>
      <c r="F1297" s="48"/>
      <c r="G1297" s="49"/>
      <c r="H1297" s="50"/>
    </row>
    <row r="1298" spans="1:8">
      <c r="A1298" s="20"/>
      <c r="B1298" s="20"/>
      <c r="C1298" s="20"/>
      <c r="D1298" s="20"/>
      <c r="E1298" s="20"/>
      <c r="F1298" s="48"/>
      <c r="G1298" s="49"/>
      <c r="H1298" s="50"/>
    </row>
    <row r="1299" spans="1:8">
      <c r="A1299" s="20"/>
      <c r="B1299" s="20"/>
      <c r="C1299" s="20"/>
      <c r="D1299" s="20"/>
      <c r="E1299" s="20"/>
      <c r="F1299" s="48"/>
      <c r="G1299" s="49"/>
      <c r="H1299" s="50"/>
    </row>
    <row r="1300" spans="1:8">
      <c r="A1300" s="20"/>
      <c r="B1300" s="20"/>
      <c r="C1300" s="20"/>
      <c r="D1300" s="20"/>
      <c r="E1300" s="20"/>
      <c r="F1300" s="48"/>
      <c r="G1300" s="49"/>
      <c r="H1300" s="50"/>
    </row>
    <row r="1301" spans="1:8">
      <c r="A1301" s="20"/>
      <c r="B1301" s="20"/>
      <c r="C1301" s="20"/>
      <c r="D1301" s="20"/>
      <c r="E1301" s="20"/>
      <c r="F1301" s="48"/>
      <c r="G1301" s="49"/>
      <c r="H1301" s="50"/>
    </row>
    <row r="1302" spans="1:8">
      <c r="A1302" s="20"/>
      <c r="B1302" s="20"/>
      <c r="C1302" s="20"/>
      <c r="D1302" s="20"/>
      <c r="E1302" s="20"/>
      <c r="F1302" s="48"/>
      <c r="G1302" s="49"/>
      <c r="H1302" s="50"/>
    </row>
    <row r="1303" spans="1:8">
      <c r="A1303" s="20"/>
      <c r="B1303" s="20"/>
      <c r="C1303" s="20"/>
      <c r="D1303" s="20"/>
      <c r="E1303" s="20"/>
      <c r="F1303" s="48"/>
      <c r="G1303" s="49"/>
      <c r="H1303" s="50"/>
    </row>
    <row r="1304" spans="1:8">
      <c r="A1304" s="20"/>
      <c r="B1304" s="20"/>
      <c r="C1304" s="20"/>
      <c r="D1304" s="20"/>
      <c r="E1304" s="20"/>
      <c r="F1304" s="48"/>
      <c r="G1304" s="49"/>
      <c r="H1304" s="50"/>
    </row>
    <row r="1305" spans="1:8">
      <c r="A1305" s="20"/>
      <c r="B1305" s="20"/>
      <c r="C1305" s="20"/>
      <c r="D1305" s="20"/>
      <c r="E1305" s="20"/>
      <c r="F1305" s="48"/>
      <c r="G1305" s="49"/>
      <c r="H1305" s="50"/>
    </row>
    <row r="1306" spans="1:8">
      <c r="A1306" s="20"/>
      <c r="B1306" s="20"/>
      <c r="C1306" s="20"/>
      <c r="D1306" s="20"/>
      <c r="E1306" s="20"/>
      <c r="F1306" s="48"/>
      <c r="G1306" s="49"/>
      <c r="H1306" s="50"/>
    </row>
    <row r="1307" spans="1:8">
      <c r="A1307" s="20"/>
      <c r="B1307" s="20"/>
      <c r="C1307" s="20"/>
      <c r="D1307" s="20"/>
      <c r="E1307" s="20"/>
      <c r="F1307" s="48"/>
      <c r="G1307" s="49"/>
      <c r="H1307" s="50"/>
    </row>
    <row r="1308" spans="1:8">
      <c r="A1308" s="20"/>
      <c r="B1308" s="20"/>
      <c r="C1308" s="20"/>
      <c r="D1308" s="20"/>
      <c r="E1308" s="20"/>
      <c r="F1308" s="48"/>
      <c r="G1308" s="49"/>
      <c r="H1308" s="50"/>
    </row>
    <row r="1309" spans="1:8">
      <c r="A1309" s="20"/>
      <c r="B1309" s="20"/>
      <c r="C1309" s="20"/>
      <c r="D1309" s="20"/>
      <c r="E1309" s="20"/>
      <c r="F1309" s="48"/>
      <c r="G1309" s="49"/>
      <c r="H1309" s="50"/>
    </row>
    <row r="1310" spans="1:8">
      <c r="A1310" s="20"/>
      <c r="B1310" s="20"/>
      <c r="C1310" s="20"/>
      <c r="D1310" s="20"/>
      <c r="E1310" s="20"/>
      <c r="F1310" s="48"/>
      <c r="G1310" s="49"/>
      <c r="H1310" s="50"/>
    </row>
    <row r="1311" spans="1:8">
      <c r="A1311" s="20"/>
      <c r="B1311" s="20"/>
      <c r="C1311" s="20"/>
      <c r="D1311" s="20"/>
      <c r="E1311" s="20"/>
      <c r="F1311" s="48"/>
      <c r="G1311" s="49"/>
      <c r="H1311" s="50"/>
    </row>
    <row r="1312" spans="1:8">
      <c r="A1312" s="20"/>
      <c r="B1312" s="20"/>
      <c r="C1312" s="20"/>
      <c r="D1312" s="20"/>
      <c r="E1312" s="20"/>
      <c r="F1312" s="48"/>
      <c r="G1312" s="49"/>
      <c r="H1312" s="50"/>
    </row>
    <row r="1313" spans="1:8">
      <c r="A1313" s="20"/>
      <c r="B1313" s="20"/>
      <c r="C1313" s="20"/>
      <c r="D1313" s="20"/>
      <c r="E1313" s="20"/>
      <c r="F1313" s="48"/>
      <c r="G1313" s="49"/>
      <c r="H1313" s="50"/>
    </row>
    <row r="1314" spans="1:8">
      <c r="A1314" s="20"/>
      <c r="B1314" s="20"/>
      <c r="C1314" s="20"/>
      <c r="D1314" s="20"/>
      <c r="E1314" s="20"/>
      <c r="F1314" s="48"/>
      <c r="G1314" s="49"/>
      <c r="H1314" s="50"/>
    </row>
    <row r="1315" spans="1:8">
      <c r="A1315" s="20"/>
      <c r="B1315" s="20"/>
      <c r="C1315" s="20"/>
      <c r="D1315" s="20"/>
      <c r="E1315" s="20"/>
      <c r="F1315" s="48"/>
      <c r="G1315" s="49"/>
      <c r="H1315" s="50"/>
    </row>
    <row r="1316" spans="1:8">
      <c r="A1316" s="20"/>
      <c r="B1316" s="20"/>
      <c r="C1316" s="20"/>
      <c r="D1316" s="20"/>
      <c r="E1316" s="20"/>
      <c r="F1316" s="48"/>
      <c r="G1316" s="49"/>
      <c r="H1316" s="50"/>
    </row>
    <row r="1317" spans="1:8">
      <c r="A1317" s="20"/>
      <c r="B1317" s="20"/>
      <c r="C1317" s="20"/>
      <c r="D1317" s="20"/>
      <c r="E1317" s="20"/>
      <c r="F1317" s="48"/>
      <c r="G1317" s="49"/>
      <c r="H1317" s="50"/>
    </row>
    <row r="1318" spans="1:8">
      <c r="A1318" s="20"/>
      <c r="B1318" s="20"/>
      <c r="C1318" s="20"/>
      <c r="D1318" s="20"/>
      <c r="E1318" s="20"/>
      <c r="F1318" s="48"/>
      <c r="G1318" s="49"/>
      <c r="H1318" s="50"/>
    </row>
    <row r="1319" spans="1:8">
      <c r="A1319" s="20"/>
      <c r="B1319" s="20"/>
      <c r="C1319" s="20"/>
      <c r="D1319" s="20"/>
      <c r="E1319" s="20"/>
      <c r="F1319" s="48"/>
      <c r="G1319" s="49"/>
      <c r="H1319" s="50"/>
    </row>
    <row r="1320" spans="1:8">
      <c r="A1320" s="20"/>
      <c r="B1320" s="20"/>
      <c r="C1320" s="20"/>
      <c r="D1320" s="20"/>
      <c r="E1320" s="20"/>
      <c r="F1320" s="48"/>
      <c r="G1320" s="49"/>
      <c r="H1320" s="50"/>
    </row>
    <row r="1321" spans="1:8">
      <c r="A1321" s="20"/>
      <c r="B1321" s="20"/>
      <c r="C1321" s="20"/>
      <c r="D1321" s="20"/>
      <c r="E1321" s="20"/>
      <c r="F1321" s="48"/>
      <c r="G1321" s="49"/>
      <c r="H1321" s="50"/>
    </row>
    <row r="1322" spans="1:8">
      <c r="A1322" s="20"/>
      <c r="B1322" s="20"/>
      <c r="C1322" s="20"/>
      <c r="D1322" s="20"/>
      <c r="E1322" s="20"/>
      <c r="F1322" s="48"/>
      <c r="G1322" s="49"/>
      <c r="H1322" s="50"/>
    </row>
    <row r="1323" spans="1:8">
      <c r="A1323" s="20"/>
      <c r="B1323" s="20"/>
      <c r="C1323" s="20"/>
      <c r="D1323" s="20"/>
      <c r="E1323" s="20"/>
      <c r="F1323" s="48"/>
      <c r="G1323" s="49"/>
      <c r="H1323" s="50"/>
    </row>
    <row r="1324" spans="1:8">
      <c r="A1324" s="20"/>
      <c r="B1324" s="20"/>
      <c r="C1324" s="20"/>
      <c r="D1324" s="20"/>
      <c r="E1324" s="20"/>
      <c r="F1324" s="48"/>
      <c r="G1324" s="49"/>
      <c r="H1324" s="50"/>
    </row>
    <row r="1325" spans="1:8">
      <c r="A1325" s="20"/>
      <c r="B1325" s="20"/>
      <c r="C1325" s="20"/>
      <c r="D1325" s="20"/>
      <c r="E1325" s="20"/>
      <c r="F1325" s="48"/>
      <c r="G1325" s="49"/>
      <c r="H1325" s="50"/>
    </row>
    <row r="1326" spans="1:8">
      <c r="A1326" s="20"/>
      <c r="B1326" s="20"/>
      <c r="C1326" s="20"/>
      <c r="D1326" s="20"/>
      <c r="E1326" s="20"/>
      <c r="F1326" s="48"/>
      <c r="G1326" s="49"/>
      <c r="H1326" s="50"/>
    </row>
    <row r="1327" spans="1:8">
      <c r="A1327" s="20"/>
      <c r="B1327" s="20"/>
      <c r="C1327" s="20"/>
      <c r="D1327" s="20"/>
      <c r="E1327" s="20"/>
      <c r="F1327" s="48"/>
      <c r="G1327" s="49"/>
      <c r="H1327" s="50"/>
    </row>
    <row r="1328" spans="1:8">
      <c r="A1328" s="20"/>
      <c r="B1328" s="20"/>
      <c r="C1328" s="20"/>
      <c r="D1328" s="20"/>
      <c r="E1328" s="20"/>
      <c r="F1328" s="48"/>
      <c r="G1328" s="49"/>
      <c r="H1328" s="50"/>
    </row>
    <row r="1329" spans="1:8">
      <c r="A1329" s="20"/>
      <c r="B1329" s="20"/>
      <c r="C1329" s="20"/>
      <c r="D1329" s="20"/>
      <c r="E1329" s="20"/>
      <c r="F1329" s="48"/>
      <c r="G1329" s="49"/>
      <c r="H1329" s="50"/>
    </row>
    <row r="1330" spans="1:8">
      <c r="A1330" s="20"/>
      <c r="B1330" s="20"/>
      <c r="C1330" s="20"/>
      <c r="D1330" s="20"/>
      <c r="E1330" s="20"/>
      <c r="F1330" s="48"/>
      <c r="G1330" s="49"/>
      <c r="H1330" s="50"/>
    </row>
    <row r="1331" spans="1:8">
      <c r="A1331" s="20"/>
      <c r="B1331" s="20"/>
      <c r="C1331" s="20"/>
      <c r="D1331" s="20"/>
      <c r="E1331" s="20"/>
      <c r="F1331" s="48"/>
      <c r="G1331" s="49"/>
      <c r="H1331" s="50"/>
    </row>
    <row r="1332" spans="1:8">
      <c r="A1332" s="20"/>
      <c r="B1332" s="20"/>
      <c r="C1332" s="20"/>
      <c r="D1332" s="20"/>
      <c r="E1332" s="20"/>
      <c r="F1332" s="48"/>
      <c r="G1332" s="49"/>
      <c r="H1332" s="50"/>
    </row>
    <row r="1333" spans="1:8">
      <c r="A1333" s="20"/>
      <c r="B1333" s="20"/>
      <c r="C1333" s="20"/>
      <c r="D1333" s="20"/>
      <c r="E1333" s="20"/>
      <c r="F1333" s="48"/>
      <c r="G1333" s="49"/>
      <c r="H1333" s="50"/>
    </row>
    <row r="1334" spans="1:8">
      <c r="A1334" s="20"/>
      <c r="B1334" s="20"/>
      <c r="C1334" s="20"/>
      <c r="D1334" s="20"/>
      <c r="E1334" s="20"/>
      <c r="F1334" s="48"/>
      <c r="G1334" s="49"/>
      <c r="H1334" s="50"/>
    </row>
    <row r="1335" spans="1:8">
      <c r="A1335" s="20"/>
      <c r="B1335" s="20"/>
      <c r="C1335" s="20"/>
      <c r="D1335" s="20"/>
      <c r="E1335" s="20"/>
      <c r="F1335" s="48"/>
      <c r="G1335" s="49"/>
      <c r="H1335" s="50"/>
    </row>
    <row r="1336" spans="1:8">
      <c r="A1336" s="20"/>
      <c r="B1336" s="20"/>
      <c r="C1336" s="20"/>
      <c r="D1336" s="20"/>
      <c r="E1336" s="20"/>
      <c r="F1336" s="48"/>
      <c r="G1336" s="49"/>
      <c r="H1336" s="50"/>
    </row>
    <row r="1337" spans="1:8">
      <c r="A1337" s="20"/>
      <c r="B1337" s="20"/>
      <c r="C1337" s="20"/>
      <c r="D1337" s="20"/>
      <c r="E1337" s="20"/>
      <c r="F1337" s="48"/>
      <c r="G1337" s="49"/>
      <c r="H1337" s="50"/>
    </row>
    <row r="1338" spans="1:8">
      <c r="A1338" s="20"/>
      <c r="B1338" s="20"/>
      <c r="C1338" s="20"/>
      <c r="D1338" s="20"/>
      <c r="E1338" s="20"/>
      <c r="F1338" s="48"/>
      <c r="G1338" s="49"/>
      <c r="H1338" s="50"/>
    </row>
    <row r="1339" spans="1:8">
      <c r="A1339" s="20"/>
      <c r="B1339" s="20"/>
      <c r="C1339" s="20"/>
      <c r="D1339" s="20"/>
      <c r="E1339" s="20"/>
      <c r="F1339" s="48"/>
      <c r="G1339" s="49"/>
      <c r="H1339" s="50"/>
    </row>
    <row r="1340" spans="1:8">
      <c r="A1340" s="20"/>
      <c r="B1340" s="20"/>
      <c r="C1340" s="20"/>
      <c r="D1340" s="20"/>
      <c r="E1340" s="20"/>
      <c r="F1340" s="48"/>
      <c r="G1340" s="49"/>
      <c r="H1340" s="50"/>
    </row>
    <row r="1341" spans="1:8">
      <c r="A1341" s="20"/>
      <c r="B1341" s="20"/>
      <c r="C1341" s="20"/>
      <c r="D1341" s="20"/>
      <c r="E1341" s="20"/>
      <c r="F1341" s="48"/>
      <c r="G1341" s="49"/>
      <c r="H1341" s="50"/>
    </row>
    <row r="1342" spans="1:8">
      <c r="A1342" s="20"/>
      <c r="B1342" s="20"/>
      <c r="C1342" s="20"/>
      <c r="D1342" s="20"/>
      <c r="E1342" s="20"/>
      <c r="F1342" s="48"/>
      <c r="G1342" s="49"/>
      <c r="H1342" s="50"/>
    </row>
    <row r="1343" spans="1:8">
      <c r="A1343" s="20"/>
      <c r="B1343" s="20"/>
      <c r="C1343" s="20"/>
      <c r="D1343" s="20"/>
      <c r="E1343" s="20"/>
      <c r="F1343" s="48"/>
      <c r="G1343" s="49"/>
      <c r="H1343" s="50"/>
    </row>
    <row r="1344" spans="1:8">
      <c r="A1344" s="20"/>
      <c r="B1344" s="20"/>
      <c r="C1344" s="20"/>
      <c r="D1344" s="20"/>
      <c r="E1344" s="20"/>
      <c r="F1344" s="48"/>
      <c r="G1344" s="49"/>
      <c r="H1344" s="50"/>
    </row>
    <row r="1345" spans="1:8">
      <c r="A1345" s="20"/>
      <c r="B1345" s="20"/>
      <c r="C1345" s="20"/>
      <c r="D1345" s="20"/>
      <c r="E1345" s="20"/>
      <c r="F1345" s="48"/>
      <c r="G1345" s="49"/>
      <c r="H1345" s="50"/>
    </row>
    <row r="1346" spans="1:8">
      <c r="A1346" s="20"/>
      <c r="B1346" s="20"/>
      <c r="C1346" s="20"/>
      <c r="D1346" s="20"/>
      <c r="E1346" s="20"/>
      <c r="F1346" s="48"/>
      <c r="G1346" s="49"/>
      <c r="H1346" s="50"/>
    </row>
    <row r="1347" spans="1:8">
      <c r="A1347" s="20"/>
      <c r="B1347" s="20"/>
      <c r="C1347" s="20"/>
      <c r="D1347" s="20"/>
      <c r="E1347" s="20"/>
      <c r="F1347" s="48"/>
      <c r="G1347" s="49"/>
      <c r="H1347" s="50"/>
    </row>
    <row r="1348" spans="1:8">
      <c r="A1348" s="20"/>
      <c r="B1348" s="20"/>
      <c r="C1348" s="20"/>
      <c r="D1348" s="20"/>
      <c r="E1348" s="20"/>
      <c r="F1348" s="48"/>
      <c r="G1348" s="49"/>
      <c r="H1348" s="50"/>
    </row>
    <row r="1349" spans="1:8">
      <c r="A1349" s="20"/>
      <c r="B1349" s="20"/>
      <c r="C1349" s="20"/>
      <c r="D1349" s="20"/>
      <c r="E1349" s="20"/>
      <c r="F1349" s="48"/>
      <c r="G1349" s="49"/>
      <c r="H1349" s="50"/>
    </row>
    <row r="1350" spans="1:8">
      <c r="A1350" s="20"/>
      <c r="B1350" s="20"/>
      <c r="C1350" s="20"/>
      <c r="D1350" s="20"/>
      <c r="E1350" s="20"/>
      <c r="F1350" s="48"/>
      <c r="G1350" s="49"/>
      <c r="H1350" s="50"/>
    </row>
    <row r="1351" spans="1:8">
      <c r="A1351" s="20"/>
      <c r="B1351" s="20"/>
      <c r="C1351" s="20"/>
      <c r="D1351" s="20"/>
      <c r="E1351" s="20"/>
      <c r="F1351" s="48"/>
      <c r="G1351" s="49"/>
      <c r="H1351" s="50"/>
    </row>
    <row r="1352" spans="1:8">
      <c r="A1352" s="20"/>
      <c r="B1352" s="20"/>
      <c r="C1352" s="20"/>
      <c r="D1352" s="20"/>
      <c r="E1352" s="20"/>
      <c r="F1352" s="48"/>
      <c r="G1352" s="49"/>
      <c r="H1352" s="50"/>
    </row>
    <row r="1353" spans="1:8">
      <c r="A1353" s="20"/>
      <c r="B1353" s="20"/>
      <c r="C1353" s="20"/>
      <c r="D1353" s="20"/>
      <c r="E1353" s="20"/>
      <c r="F1353" s="48"/>
      <c r="G1353" s="49"/>
      <c r="H1353" s="50"/>
    </row>
    <row r="1354" spans="1:8">
      <c r="A1354" s="20"/>
      <c r="B1354" s="20"/>
      <c r="C1354" s="20"/>
      <c r="D1354" s="20"/>
      <c r="E1354" s="20"/>
      <c r="F1354" s="48"/>
      <c r="G1354" s="49"/>
      <c r="H1354" s="50"/>
    </row>
    <row r="1355" spans="1:8">
      <c r="A1355" s="20"/>
      <c r="B1355" s="20"/>
      <c r="C1355" s="20"/>
      <c r="D1355" s="20"/>
      <c r="E1355" s="20"/>
      <c r="F1355" s="48"/>
      <c r="G1355" s="49"/>
      <c r="H1355" s="50"/>
    </row>
    <row r="1356" spans="1:8">
      <c r="A1356" s="20"/>
      <c r="B1356" s="20"/>
      <c r="C1356" s="20"/>
      <c r="D1356" s="20"/>
      <c r="E1356" s="20"/>
      <c r="F1356" s="48"/>
      <c r="G1356" s="49"/>
      <c r="H1356" s="50"/>
    </row>
    <row r="1357" spans="1:8">
      <c r="A1357" s="20"/>
      <c r="B1357" s="20"/>
      <c r="C1357" s="20"/>
      <c r="D1357" s="20"/>
      <c r="E1357" s="20"/>
      <c r="F1357" s="48"/>
      <c r="G1357" s="49"/>
      <c r="H1357" s="50"/>
    </row>
    <row r="1358" spans="1:8">
      <c r="A1358" s="20"/>
      <c r="B1358" s="20"/>
      <c r="C1358" s="20"/>
      <c r="D1358" s="20"/>
      <c r="E1358" s="20"/>
      <c r="F1358" s="48"/>
      <c r="G1358" s="49"/>
      <c r="H1358" s="50"/>
    </row>
    <row r="1359" spans="1:8">
      <c r="A1359" s="20"/>
      <c r="B1359" s="20"/>
      <c r="C1359" s="20"/>
      <c r="D1359" s="20"/>
      <c r="E1359" s="20"/>
      <c r="F1359" s="48"/>
      <c r="G1359" s="49"/>
      <c r="H1359" s="50"/>
    </row>
    <row r="1360" spans="1:8">
      <c r="A1360" s="20"/>
      <c r="B1360" s="20"/>
      <c r="C1360" s="20"/>
      <c r="D1360" s="20"/>
      <c r="E1360" s="20"/>
      <c r="F1360" s="48"/>
      <c r="G1360" s="49"/>
      <c r="H1360" s="50"/>
    </row>
    <row r="1361" spans="1:8">
      <c r="A1361" s="20"/>
      <c r="B1361" s="20"/>
      <c r="C1361" s="20"/>
      <c r="D1361" s="20"/>
      <c r="E1361" s="20"/>
      <c r="F1361" s="48"/>
      <c r="G1361" s="49"/>
      <c r="H1361" s="50"/>
    </row>
    <row r="1362" spans="1:8">
      <c r="A1362" s="20"/>
      <c r="B1362" s="20"/>
      <c r="C1362" s="20"/>
      <c r="D1362" s="20"/>
      <c r="E1362" s="20"/>
      <c r="F1362" s="48"/>
      <c r="G1362" s="49"/>
      <c r="H1362" s="50"/>
    </row>
    <row r="1363" spans="1:8">
      <c r="A1363" s="20"/>
      <c r="B1363" s="20"/>
      <c r="C1363" s="20"/>
      <c r="D1363" s="20"/>
      <c r="E1363" s="20"/>
      <c r="F1363" s="48"/>
      <c r="G1363" s="49"/>
      <c r="H1363" s="50"/>
    </row>
    <row r="1364" spans="1:8">
      <c r="A1364" s="20"/>
      <c r="B1364" s="20"/>
      <c r="C1364" s="20"/>
      <c r="D1364" s="20"/>
      <c r="E1364" s="20"/>
      <c r="F1364" s="48"/>
      <c r="G1364" s="49"/>
      <c r="H1364" s="50"/>
    </row>
    <row r="1365" spans="1:8">
      <c r="A1365" s="20"/>
      <c r="B1365" s="20"/>
      <c r="C1365" s="20"/>
      <c r="D1365" s="20"/>
      <c r="E1365" s="20"/>
      <c r="F1365" s="48"/>
      <c r="G1365" s="49"/>
      <c r="H1365" s="50"/>
    </row>
    <row r="1366" spans="1:8">
      <c r="A1366" s="20"/>
      <c r="B1366" s="20"/>
      <c r="C1366" s="20"/>
      <c r="D1366" s="20"/>
      <c r="E1366" s="20"/>
      <c r="F1366" s="48"/>
      <c r="G1366" s="49"/>
      <c r="H1366" s="50"/>
    </row>
    <row r="1367" spans="1:8">
      <c r="A1367" s="20"/>
      <c r="B1367" s="20"/>
      <c r="C1367" s="20"/>
      <c r="D1367" s="20"/>
      <c r="E1367" s="20"/>
      <c r="F1367" s="48"/>
      <c r="G1367" s="49"/>
      <c r="H1367" s="50"/>
    </row>
    <row r="1368" spans="1:8">
      <c r="A1368" s="20"/>
      <c r="B1368" s="20"/>
      <c r="C1368" s="20"/>
      <c r="D1368" s="20"/>
      <c r="E1368" s="20"/>
      <c r="F1368" s="48"/>
      <c r="G1368" s="49"/>
      <c r="H1368" s="50"/>
    </row>
    <row r="1369" spans="1:8">
      <c r="A1369" s="20"/>
      <c r="B1369" s="20"/>
      <c r="C1369" s="20"/>
      <c r="D1369" s="20"/>
      <c r="E1369" s="20"/>
      <c r="F1369" s="48"/>
      <c r="G1369" s="49"/>
      <c r="H1369" s="50"/>
    </row>
    <row r="1370" spans="1:8">
      <c r="A1370" s="20"/>
      <c r="B1370" s="20"/>
      <c r="C1370" s="20"/>
      <c r="D1370" s="20"/>
      <c r="E1370" s="20"/>
      <c r="F1370" s="48"/>
      <c r="G1370" s="49"/>
      <c r="H1370" s="50"/>
    </row>
    <row r="1371" spans="1:8">
      <c r="A1371" s="20"/>
      <c r="B1371" s="20"/>
      <c r="C1371" s="20"/>
      <c r="D1371" s="20"/>
      <c r="E1371" s="20"/>
      <c r="F1371" s="48"/>
      <c r="G1371" s="49"/>
      <c r="H1371" s="50"/>
    </row>
    <row r="1372" spans="1:8">
      <c r="A1372" s="20"/>
      <c r="B1372" s="20"/>
      <c r="C1372" s="20"/>
      <c r="D1372" s="20"/>
      <c r="E1372" s="20"/>
      <c r="F1372" s="48"/>
      <c r="G1372" s="49"/>
      <c r="H1372" s="50"/>
    </row>
    <row r="1373" spans="1:8">
      <c r="A1373" s="20"/>
      <c r="B1373" s="20"/>
      <c r="C1373" s="20"/>
      <c r="D1373" s="20"/>
      <c r="E1373" s="20"/>
      <c r="F1373" s="48"/>
      <c r="G1373" s="49"/>
      <c r="H1373" s="50"/>
    </row>
    <row r="1374" spans="1:8">
      <c r="A1374" s="20"/>
      <c r="B1374" s="20"/>
      <c r="C1374" s="20"/>
      <c r="D1374" s="20"/>
      <c r="E1374" s="20"/>
      <c r="F1374" s="48"/>
      <c r="G1374" s="49"/>
      <c r="H1374" s="50"/>
    </row>
    <row r="1375" spans="1:8">
      <c r="A1375" s="20"/>
      <c r="B1375" s="20"/>
      <c r="C1375" s="20"/>
      <c r="D1375" s="20"/>
      <c r="E1375" s="20"/>
      <c r="F1375" s="48"/>
      <c r="G1375" s="49"/>
      <c r="H1375" s="50"/>
    </row>
    <row r="1376" spans="1:8">
      <c r="A1376" s="20"/>
      <c r="B1376" s="20"/>
      <c r="C1376" s="20"/>
      <c r="D1376" s="20"/>
      <c r="E1376" s="20"/>
      <c r="F1376" s="48"/>
      <c r="G1376" s="49"/>
      <c r="H1376" s="50"/>
    </row>
    <row r="1377" spans="1:8">
      <c r="A1377" s="20"/>
      <c r="B1377" s="20"/>
      <c r="C1377" s="20"/>
      <c r="D1377" s="20"/>
      <c r="E1377" s="20"/>
      <c r="F1377" s="48"/>
      <c r="G1377" s="49"/>
      <c r="H1377" s="50"/>
    </row>
    <row r="1378" spans="1:8">
      <c r="A1378" s="20"/>
      <c r="B1378" s="20"/>
      <c r="C1378" s="20"/>
      <c r="D1378" s="20"/>
      <c r="E1378" s="20"/>
      <c r="F1378" s="48"/>
      <c r="G1378" s="49"/>
      <c r="H1378" s="50"/>
    </row>
    <row r="1379" spans="1:8">
      <c r="A1379" s="20"/>
      <c r="B1379" s="20"/>
      <c r="C1379" s="20"/>
      <c r="D1379" s="20"/>
      <c r="E1379" s="20"/>
      <c r="F1379" s="48"/>
      <c r="G1379" s="49"/>
      <c r="H1379" s="50"/>
    </row>
    <row r="1380" spans="1:8">
      <c r="A1380" s="20"/>
      <c r="B1380" s="20"/>
      <c r="C1380" s="20"/>
      <c r="D1380" s="20"/>
      <c r="E1380" s="20"/>
      <c r="F1380" s="48"/>
      <c r="G1380" s="49"/>
      <c r="H1380" s="50"/>
    </row>
    <row r="1381" spans="1:8">
      <c r="A1381" s="20"/>
      <c r="B1381" s="20"/>
      <c r="C1381" s="20"/>
      <c r="D1381" s="20"/>
      <c r="E1381" s="20"/>
      <c r="F1381" s="48"/>
      <c r="G1381" s="49"/>
      <c r="H1381" s="50"/>
    </row>
    <row r="1382" spans="1:8">
      <c r="A1382" s="20"/>
      <c r="B1382" s="20"/>
      <c r="C1382" s="20"/>
      <c r="D1382" s="20"/>
      <c r="E1382" s="20"/>
      <c r="F1382" s="48"/>
      <c r="G1382" s="49"/>
      <c r="H1382" s="50"/>
    </row>
    <row r="1383" spans="1:8">
      <c r="A1383" s="20"/>
      <c r="B1383" s="20"/>
      <c r="C1383" s="20"/>
      <c r="D1383" s="20"/>
      <c r="E1383" s="20"/>
      <c r="F1383" s="48"/>
      <c r="G1383" s="49"/>
      <c r="H1383" s="50"/>
    </row>
    <row r="1384" spans="1:8">
      <c r="A1384" s="20"/>
      <c r="B1384" s="20"/>
      <c r="C1384" s="20"/>
      <c r="D1384" s="20"/>
      <c r="E1384" s="20"/>
      <c r="F1384" s="48"/>
      <c r="G1384" s="49"/>
      <c r="H1384" s="50"/>
    </row>
    <row r="1385" spans="1:8">
      <c r="A1385" s="20"/>
      <c r="B1385" s="20"/>
      <c r="C1385" s="20"/>
      <c r="D1385" s="20"/>
      <c r="E1385" s="20"/>
      <c r="F1385" s="48"/>
      <c r="G1385" s="49"/>
      <c r="H1385" s="50"/>
    </row>
    <row r="1386" spans="1:8">
      <c r="A1386" s="20"/>
      <c r="B1386" s="20"/>
      <c r="C1386" s="20"/>
      <c r="D1386" s="20"/>
      <c r="E1386" s="20"/>
      <c r="F1386" s="48"/>
      <c r="G1386" s="49"/>
      <c r="H1386" s="50"/>
    </row>
    <row r="1387" spans="1:8">
      <c r="A1387" s="20"/>
      <c r="B1387" s="20"/>
      <c r="C1387" s="20"/>
      <c r="D1387" s="20"/>
      <c r="E1387" s="20"/>
      <c r="F1387" s="48"/>
      <c r="G1387" s="49"/>
      <c r="H1387" s="50"/>
    </row>
    <row r="1388" spans="1:8">
      <c r="A1388" s="20"/>
      <c r="B1388" s="20"/>
      <c r="C1388" s="20"/>
      <c r="D1388" s="20"/>
      <c r="E1388" s="20"/>
      <c r="F1388" s="48"/>
      <c r="G1388" s="49"/>
      <c r="H1388" s="50"/>
    </row>
    <row r="1389" spans="1:8">
      <c r="A1389" s="20"/>
      <c r="B1389" s="20"/>
      <c r="C1389" s="20"/>
      <c r="D1389" s="20"/>
      <c r="E1389" s="20"/>
      <c r="F1389" s="48"/>
      <c r="G1389" s="49"/>
      <c r="H1389" s="50"/>
    </row>
    <row r="1390" spans="1:8">
      <c r="A1390" s="20"/>
      <c r="B1390" s="20"/>
      <c r="C1390" s="20"/>
      <c r="D1390" s="20"/>
      <c r="E1390" s="20"/>
      <c r="F1390" s="48"/>
      <c r="G1390" s="49"/>
      <c r="H1390" s="50"/>
    </row>
    <row r="1391" spans="1:8">
      <c r="A1391" s="20"/>
      <c r="B1391" s="20"/>
      <c r="C1391" s="20"/>
      <c r="D1391" s="20"/>
      <c r="E1391" s="20"/>
      <c r="F1391" s="48"/>
      <c r="G1391" s="49"/>
      <c r="H1391" s="50"/>
    </row>
    <row r="1392" spans="1:8">
      <c r="A1392" s="20"/>
      <c r="B1392" s="20"/>
      <c r="C1392" s="20"/>
      <c r="D1392" s="20"/>
      <c r="E1392" s="20"/>
      <c r="F1392" s="48"/>
      <c r="G1392" s="49"/>
      <c r="H1392" s="50"/>
    </row>
    <row r="1393" spans="1:8">
      <c r="A1393" s="20"/>
      <c r="B1393" s="20"/>
      <c r="C1393" s="20"/>
      <c r="D1393" s="20"/>
      <c r="E1393" s="20"/>
      <c r="F1393" s="48"/>
      <c r="G1393" s="49"/>
      <c r="H1393" s="50"/>
    </row>
    <row r="1394" spans="1:8">
      <c r="A1394" s="20"/>
      <c r="B1394" s="20"/>
      <c r="C1394" s="20"/>
      <c r="D1394" s="20"/>
      <c r="E1394" s="20"/>
      <c r="F1394" s="48"/>
      <c r="G1394" s="49"/>
      <c r="H1394" s="50"/>
    </row>
    <row r="1395" spans="1:8">
      <c r="A1395" s="20"/>
      <c r="B1395" s="20"/>
      <c r="C1395" s="20"/>
      <c r="D1395" s="20"/>
      <c r="E1395" s="20"/>
      <c r="F1395" s="48"/>
      <c r="G1395" s="49"/>
      <c r="H1395" s="50"/>
    </row>
    <row r="1396" spans="1:8">
      <c r="A1396" s="20"/>
      <c r="B1396" s="20"/>
      <c r="C1396" s="20"/>
      <c r="D1396" s="20"/>
      <c r="E1396" s="20"/>
      <c r="F1396" s="48"/>
      <c r="G1396" s="49"/>
      <c r="H1396" s="50"/>
    </row>
    <row r="1397" spans="1:8">
      <c r="A1397" s="20"/>
      <c r="B1397" s="20"/>
      <c r="C1397" s="20"/>
      <c r="D1397" s="20"/>
      <c r="E1397" s="20"/>
      <c r="F1397" s="48"/>
      <c r="G1397" s="49"/>
      <c r="H1397" s="50"/>
    </row>
    <row r="1398" spans="1:8">
      <c r="A1398" s="20"/>
      <c r="B1398" s="20"/>
      <c r="C1398" s="20"/>
      <c r="D1398" s="20"/>
      <c r="E1398" s="20"/>
      <c r="F1398" s="48"/>
      <c r="G1398" s="49"/>
      <c r="H1398" s="50"/>
    </row>
    <row r="1399" spans="1:8">
      <c r="A1399" s="20"/>
      <c r="B1399" s="20"/>
      <c r="C1399" s="20"/>
      <c r="D1399" s="20"/>
      <c r="E1399" s="20"/>
      <c r="F1399" s="48"/>
      <c r="G1399" s="49"/>
      <c r="H1399" s="50"/>
    </row>
    <row r="1400" spans="1:8">
      <c r="A1400" s="20"/>
      <c r="B1400" s="20"/>
      <c r="C1400" s="20"/>
      <c r="D1400" s="20"/>
      <c r="E1400" s="20"/>
      <c r="F1400" s="48"/>
      <c r="G1400" s="49"/>
      <c r="H1400" s="50"/>
    </row>
    <row r="1401" spans="1:8">
      <c r="A1401" s="20"/>
      <c r="B1401" s="20"/>
      <c r="C1401" s="20"/>
      <c r="D1401" s="20"/>
      <c r="E1401" s="20"/>
      <c r="F1401" s="48"/>
      <c r="G1401" s="49"/>
      <c r="H1401" s="50"/>
    </row>
    <row r="1402" spans="1:8">
      <c r="A1402" s="20"/>
      <c r="B1402" s="20"/>
      <c r="C1402" s="20"/>
      <c r="D1402" s="20"/>
      <c r="E1402" s="20"/>
      <c r="F1402" s="48"/>
      <c r="G1402" s="49"/>
      <c r="H1402" s="50"/>
    </row>
    <row r="1403" spans="1:8">
      <c r="A1403" s="20"/>
      <c r="B1403" s="20"/>
      <c r="C1403" s="20"/>
      <c r="D1403" s="20"/>
      <c r="E1403" s="20"/>
      <c r="F1403" s="48"/>
      <c r="G1403" s="49"/>
      <c r="H1403" s="50"/>
    </row>
    <row r="1404" spans="1:8">
      <c r="A1404" s="20"/>
      <c r="B1404" s="20"/>
      <c r="C1404" s="20"/>
      <c r="D1404" s="20"/>
      <c r="E1404" s="20"/>
      <c r="F1404" s="48"/>
      <c r="G1404" s="49"/>
      <c r="H1404" s="50"/>
    </row>
    <row r="1405" spans="1:8">
      <c r="A1405" s="20"/>
      <c r="B1405" s="20"/>
      <c r="C1405" s="20"/>
      <c r="D1405" s="20"/>
      <c r="E1405" s="20"/>
      <c r="F1405" s="48"/>
      <c r="G1405" s="49"/>
      <c r="H1405" s="50"/>
    </row>
    <row r="1406" spans="1:8">
      <c r="A1406" s="20"/>
      <c r="B1406" s="20"/>
      <c r="C1406" s="20"/>
      <c r="D1406" s="20"/>
      <c r="E1406" s="20"/>
      <c r="F1406" s="48"/>
      <c r="G1406" s="49"/>
      <c r="H1406" s="50"/>
    </row>
    <row r="1407" spans="1:8">
      <c r="A1407" s="20"/>
      <c r="B1407" s="20"/>
      <c r="C1407" s="20"/>
      <c r="D1407" s="20"/>
      <c r="E1407" s="20"/>
      <c r="F1407" s="48"/>
      <c r="G1407" s="49"/>
      <c r="H1407" s="50"/>
    </row>
    <row r="1408" spans="1:8">
      <c r="A1408" s="20"/>
      <c r="B1408" s="20"/>
      <c r="C1408" s="20"/>
      <c r="D1408" s="20"/>
      <c r="E1408" s="20"/>
      <c r="F1408" s="48"/>
      <c r="G1408" s="49"/>
      <c r="H1408" s="50"/>
    </row>
    <row r="1409" spans="1:8">
      <c r="A1409" s="20"/>
      <c r="B1409" s="20"/>
      <c r="C1409" s="20"/>
      <c r="D1409" s="20"/>
      <c r="E1409" s="20"/>
      <c r="F1409" s="48"/>
      <c r="G1409" s="49"/>
      <c r="H1409" s="50"/>
    </row>
    <row r="1410" spans="1:8">
      <c r="A1410" s="20"/>
      <c r="B1410" s="20"/>
      <c r="C1410" s="20"/>
      <c r="D1410" s="20"/>
      <c r="E1410" s="20"/>
      <c r="F1410" s="48"/>
      <c r="G1410" s="49"/>
      <c r="H1410" s="50"/>
    </row>
    <row r="1411" spans="1:8">
      <c r="A1411" s="20"/>
      <c r="B1411" s="20"/>
      <c r="C1411" s="20"/>
      <c r="D1411" s="20"/>
      <c r="E1411" s="20"/>
      <c r="F1411" s="48"/>
      <c r="G1411" s="49"/>
      <c r="H1411" s="50"/>
    </row>
    <row r="1412" spans="1:8">
      <c r="A1412" s="20"/>
      <c r="B1412" s="20"/>
      <c r="C1412" s="20"/>
      <c r="D1412" s="20"/>
      <c r="E1412" s="20"/>
      <c r="F1412" s="48"/>
      <c r="G1412" s="49"/>
      <c r="H1412" s="50"/>
    </row>
    <row r="1413" spans="1:8">
      <c r="A1413" s="20"/>
      <c r="B1413" s="20"/>
      <c r="C1413" s="20"/>
      <c r="D1413" s="20"/>
      <c r="E1413" s="20"/>
      <c r="F1413" s="48"/>
      <c r="G1413" s="49"/>
      <c r="H1413" s="50"/>
    </row>
    <row r="1414" spans="1:8">
      <c r="A1414" s="20"/>
      <c r="B1414" s="20"/>
      <c r="C1414" s="20"/>
      <c r="D1414" s="20"/>
      <c r="E1414" s="20"/>
      <c r="F1414" s="48"/>
      <c r="G1414" s="49"/>
      <c r="H1414" s="50"/>
    </row>
    <row r="1415" spans="1:8">
      <c r="A1415" s="20"/>
      <c r="B1415" s="20"/>
      <c r="C1415" s="20"/>
      <c r="D1415" s="20"/>
      <c r="E1415" s="20"/>
      <c r="F1415" s="48"/>
      <c r="G1415" s="49"/>
      <c r="H1415" s="50"/>
    </row>
    <row r="1416" spans="1:8">
      <c r="A1416" s="20"/>
      <c r="B1416" s="20"/>
      <c r="C1416" s="20"/>
      <c r="D1416" s="20"/>
      <c r="E1416" s="20"/>
      <c r="F1416" s="48"/>
      <c r="G1416" s="49"/>
      <c r="H1416" s="50"/>
    </row>
    <row r="1417" spans="1:8">
      <c r="A1417" s="20"/>
      <c r="B1417" s="20"/>
      <c r="C1417" s="20"/>
      <c r="D1417" s="20"/>
      <c r="E1417" s="20"/>
      <c r="F1417" s="48"/>
      <c r="G1417" s="49"/>
      <c r="H1417" s="50"/>
    </row>
    <row r="1418" spans="1:8">
      <c r="A1418" s="20"/>
      <c r="B1418" s="20"/>
      <c r="C1418" s="20"/>
      <c r="D1418" s="20"/>
      <c r="E1418" s="20"/>
      <c r="F1418" s="48"/>
      <c r="G1418" s="49"/>
      <c r="H1418" s="50"/>
    </row>
    <row r="1419" spans="1:8">
      <c r="A1419" s="20"/>
      <c r="B1419" s="20"/>
      <c r="C1419" s="20"/>
      <c r="D1419" s="20"/>
      <c r="E1419" s="20"/>
      <c r="F1419" s="48"/>
      <c r="G1419" s="49"/>
      <c r="H1419" s="50"/>
    </row>
    <row r="1420" spans="1:8">
      <c r="A1420" s="20"/>
      <c r="B1420" s="20"/>
      <c r="C1420" s="20"/>
      <c r="D1420" s="20"/>
      <c r="E1420" s="20"/>
      <c r="F1420" s="48"/>
      <c r="G1420" s="49"/>
      <c r="H1420" s="50"/>
    </row>
    <row r="1421" spans="1:8">
      <c r="A1421" s="20"/>
      <c r="B1421" s="20"/>
      <c r="C1421" s="20"/>
      <c r="D1421" s="20"/>
      <c r="E1421" s="20"/>
      <c r="F1421" s="48"/>
      <c r="G1421" s="49"/>
      <c r="H1421" s="50"/>
    </row>
    <row r="1422" spans="1:8">
      <c r="A1422" s="20"/>
      <c r="B1422" s="20"/>
      <c r="C1422" s="20"/>
      <c r="D1422" s="20"/>
      <c r="E1422" s="20"/>
      <c r="F1422" s="48"/>
      <c r="G1422" s="49"/>
      <c r="H1422" s="50"/>
    </row>
    <row r="1423" spans="1:8">
      <c r="A1423" s="20"/>
      <c r="B1423" s="20"/>
      <c r="C1423" s="20"/>
      <c r="D1423" s="20"/>
      <c r="E1423" s="20"/>
      <c r="F1423" s="48"/>
      <c r="G1423" s="49"/>
      <c r="H1423" s="50"/>
    </row>
    <row r="1424" spans="1:8">
      <c r="A1424" s="20"/>
      <c r="B1424" s="20"/>
      <c r="C1424" s="20"/>
      <c r="D1424" s="20"/>
      <c r="E1424" s="20"/>
      <c r="F1424" s="48"/>
      <c r="G1424" s="49"/>
      <c r="H1424" s="50"/>
    </row>
    <row r="1425" spans="1:8">
      <c r="A1425" s="20"/>
      <c r="B1425" s="20"/>
      <c r="C1425" s="20"/>
      <c r="D1425" s="20"/>
      <c r="E1425" s="20"/>
      <c r="F1425" s="48"/>
      <c r="G1425" s="49"/>
      <c r="H1425" s="50"/>
    </row>
    <row r="1426" spans="1:8">
      <c r="A1426" s="20"/>
      <c r="B1426" s="20"/>
      <c r="C1426" s="20"/>
      <c r="D1426" s="20"/>
      <c r="E1426" s="20"/>
      <c r="F1426" s="48"/>
      <c r="G1426" s="49"/>
      <c r="H1426" s="50"/>
    </row>
    <row r="1427" spans="1:8">
      <c r="A1427" s="20"/>
      <c r="B1427" s="20"/>
      <c r="C1427" s="20"/>
      <c r="D1427" s="20"/>
      <c r="E1427" s="20"/>
      <c r="F1427" s="48"/>
      <c r="G1427" s="49"/>
      <c r="H1427" s="50"/>
    </row>
    <row r="1428" spans="1:8">
      <c r="A1428" s="20"/>
      <c r="B1428" s="20"/>
      <c r="C1428" s="20"/>
      <c r="D1428" s="20"/>
      <c r="E1428" s="20"/>
      <c r="F1428" s="48"/>
      <c r="G1428" s="49"/>
      <c r="H1428" s="50"/>
    </row>
    <row r="1429" spans="1:8">
      <c r="A1429" s="20"/>
      <c r="B1429" s="20"/>
      <c r="C1429" s="20"/>
      <c r="D1429" s="20"/>
      <c r="E1429" s="20"/>
      <c r="F1429" s="48"/>
      <c r="G1429" s="49"/>
      <c r="H1429" s="50"/>
    </row>
    <row r="1430" spans="1:8">
      <c r="A1430" s="20"/>
      <c r="B1430" s="20"/>
      <c r="C1430" s="20"/>
      <c r="D1430" s="20"/>
      <c r="E1430" s="20"/>
      <c r="F1430" s="48"/>
      <c r="G1430" s="49"/>
      <c r="H1430" s="50"/>
    </row>
    <row r="1431" spans="1:8">
      <c r="A1431" s="20"/>
      <c r="B1431" s="20"/>
      <c r="C1431" s="20"/>
      <c r="D1431" s="20"/>
      <c r="E1431" s="20"/>
      <c r="F1431" s="48"/>
      <c r="G1431" s="49"/>
      <c r="H1431" s="50"/>
    </row>
    <row r="1432" spans="1:8">
      <c r="A1432" s="20"/>
      <c r="B1432" s="20"/>
      <c r="C1432" s="20"/>
      <c r="D1432" s="20"/>
      <c r="E1432" s="20"/>
      <c r="F1432" s="48"/>
      <c r="G1432" s="49"/>
      <c r="H1432" s="50"/>
    </row>
    <row r="1433" spans="1:8">
      <c r="A1433" s="20"/>
      <c r="B1433" s="20"/>
      <c r="C1433" s="20"/>
      <c r="D1433" s="20"/>
      <c r="E1433" s="20"/>
      <c r="F1433" s="48"/>
      <c r="G1433" s="49"/>
      <c r="H1433" s="50"/>
    </row>
    <row r="1434" spans="1:8">
      <c r="A1434" s="20"/>
      <c r="B1434" s="20"/>
      <c r="C1434" s="20"/>
      <c r="D1434" s="20"/>
      <c r="E1434" s="20"/>
      <c r="F1434" s="48"/>
      <c r="G1434" s="49"/>
      <c r="H1434" s="50"/>
    </row>
    <row r="1435" spans="1:8">
      <c r="A1435" s="20"/>
      <c r="B1435" s="20"/>
      <c r="C1435" s="20"/>
      <c r="D1435" s="20"/>
      <c r="E1435" s="20"/>
      <c r="F1435" s="48"/>
      <c r="G1435" s="49"/>
      <c r="H1435" s="50"/>
    </row>
    <row r="1436" spans="1:8">
      <c r="A1436" s="20"/>
      <c r="B1436" s="20"/>
      <c r="C1436" s="20"/>
      <c r="D1436" s="20"/>
      <c r="E1436" s="20"/>
      <c r="F1436" s="48"/>
      <c r="G1436" s="49"/>
      <c r="H1436" s="50"/>
    </row>
    <row r="1437" spans="1:8">
      <c r="A1437" s="20"/>
      <c r="B1437" s="20"/>
      <c r="C1437" s="20"/>
      <c r="D1437" s="20"/>
      <c r="E1437" s="20"/>
      <c r="F1437" s="48"/>
      <c r="G1437" s="49"/>
      <c r="H1437" s="50"/>
    </row>
    <row r="1438" spans="1:8">
      <c r="A1438" s="20"/>
      <c r="B1438" s="20"/>
      <c r="C1438" s="20"/>
      <c r="D1438" s="20"/>
      <c r="E1438" s="20"/>
      <c r="F1438" s="48"/>
      <c r="G1438" s="49"/>
      <c r="H1438" s="50"/>
    </row>
    <row r="1439" spans="1:8">
      <c r="A1439" s="20"/>
      <c r="B1439" s="20"/>
      <c r="C1439" s="20"/>
      <c r="D1439" s="20"/>
      <c r="E1439" s="20"/>
      <c r="F1439" s="48"/>
      <c r="G1439" s="49"/>
      <c r="H1439" s="50"/>
    </row>
    <row r="1440" spans="1:8">
      <c r="A1440" s="20"/>
      <c r="B1440" s="20"/>
      <c r="C1440" s="20"/>
      <c r="D1440" s="20"/>
      <c r="E1440" s="20"/>
      <c r="F1440" s="48"/>
      <c r="G1440" s="49"/>
      <c r="H1440" s="50"/>
    </row>
    <row r="1441" spans="1:8">
      <c r="A1441" s="20"/>
      <c r="B1441" s="20"/>
      <c r="C1441" s="20"/>
      <c r="D1441" s="20"/>
      <c r="E1441" s="20"/>
      <c r="F1441" s="48"/>
      <c r="G1441" s="49"/>
      <c r="H1441" s="50"/>
    </row>
    <row r="1442" spans="1:8">
      <c r="A1442" s="20"/>
      <c r="B1442" s="20"/>
      <c r="C1442" s="20"/>
      <c r="D1442" s="20"/>
      <c r="E1442" s="20"/>
      <c r="F1442" s="48"/>
      <c r="G1442" s="49"/>
      <c r="H1442" s="50"/>
    </row>
    <row r="1443" spans="1:8">
      <c r="A1443" s="20"/>
      <c r="B1443" s="20"/>
      <c r="C1443" s="20"/>
      <c r="D1443" s="20"/>
      <c r="E1443" s="20"/>
      <c r="F1443" s="48"/>
      <c r="G1443" s="49"/>
      <c r="H1443" s="50"/>
    </row>
    <row r="1444" spans="1:8">
      <c r="A1444" s="20"/>
      <c r="B1444" s="20"/>
      <c r="C1444" s="20"/>
      <c r="D1444" s="20"/>
      <c r="E1444" s="20"/>
      <c r="F1444" s="48"/>
      <c r="G1444" s="49"/>
      <c r="H1444" s="50"/>
    </row>
    <row r="1445" spans="1:8">
      <c r="A1445" s="20"/>
      <c r="B1445" s="20"/>
      <c r="C1445" s="20"/>
      <c r="D1445" s="20"/>
      <c r="E1445" s="20"/>
      <c r="F1445" s="48"/>
      <c r="G1445" s="49"/>
      <c r="H1445" s="50"/>
    </row>
    <row r="1446" spans="1:8">
      <c r="A1446" s="20"/>
      <c r="B1446" s="20"/>
      <c r="C1446" s="20"/>
      <c r="D1446" s="20"/>
      <c r="E1446" s="20"/>
      <c r="F1446" s="48"/>
      <c r="G1446" s="49"/>
      <c r="H1446" s="50"/>
    </row>
    <row r="1447" spans="1:8">
      <c r="A1447" s="20"/>
      <c r="B1447" s="20"/>
      <c r="C1447" s="20"/>
      <c r="D1447" s="20"/>
      <c r="E1447" s="20"/>
      <c r="F1447" s="48"/>
      <c r="G1447" s="49"/>
      <c r="H1447" s="50"/>
    </row>
    <row r="1448" spans="1:8">
      <c r="A1448" s="20"/>
      <c r="B1448" s="20"/>
      <c r="C1448" s="20"/>
      <c r="D1448" s="20"/>
      <c r="E1448" s="20"/>
      <c r="F1448" s="48"/>
      <c r="G1448" s="49"/>
      <c r="H1448" s="50"/>
    </row>
    <row r="1449" spans="1:8">
      <c r="A1449" s="20"/>
      <c r="B1449" s="20"/>
      <c r="C1449" s="20"/>
      <c r="D1449" s="20"/>
      <c r="E1449" s="20"/>
      <c r="F1449" s="48"/>
      <c r="G1449" s="49"/>
      <c r="H1449" s="50"/>
    </row>
    <row r="1450" spans="1:8">
      <c r="A1450" s="20"/>
      <c r="B1450" s="20"/>
      <c r="C1450" s="20"/>
      <c r="D1450" s="20"/>
      <c r="E1450" s="20"/>
      <c r="F1450" s="48"/>
      <c r="G1450" s="49"/>
      <c r="H1450" s="50"/>
    </row>
    <row r="1451" spans="1:8">
      <c r="A1451" s="20"/>
      <c r="B1451" s="20"/>
      <c r="C1451" s="20"/>
      <c r="D1451" s="20"/>
      <c r="E1451" s="20"/>
      <c r="F1451" s="48"/>
      <c r="G1451" s="49"/>
      <c r="H1451" s="50"/>
    </row>
    <row r="1452" spans="1:8">
      <c r="A1452" s="20"/>
      <c r="B1452" s="20"/>
      <c r="C1452" s="20"/>
      <c r="D1452" s="20"/>
      <c r="E1452" s="20"/>
      <c r="F1452" s="48"/>
      <c r="G1452" s="49"/>
      <c r="H1452" s="50"/>
    </row>
    <row r="1453" spans="1:8">
      <c r="A1453" s="20"/>
      <c r="B1453" s="20"/>
      <c r="C1453" s="20"/>
      <c r="D1453" s="20"/>
      <c r="E1453" s="20"/>
      <c r="F1453" s="48"/>
      <c r="G1453" s="49"/>
      <c r="H1453" s="50"/>
    </row>
    <row r="1454" spans="1:8">
      <c r="A1454" s="20"/>
      <c r="B1454" s="20"/>
      <c r="C1454" s="20"/>
      <c r="D1454" s="20"/>
      <c r="E1454" s="20"/>
      <c r="F1454" s="48"/>
      <c r="G1454" s="49"/>
      <c r="H1454" s="50"/>
    </row>
    <row r="1455" spans="1:8">
      <c r="A1455" s="20"/>
      <c r="B1455" s="20"/>
      <c r="C1455" s="20"/>
      <c r="D1455" s="20"/>
      <c r="E1455" s="20"/>
      <c r="F1455" s="48"/>
      <c r="G1455" s="49"/>
      <c r="H1455" s="50"/>
    </row>
    <row r="1456" spans="1:8">
      <c r="A1456" s="20"/>
      <c r="B1456" s="20"/>
      <c r="C1456" s="20"/>
      <c r="D1456" s="20"/>
      <c r="E1456" s="20"/>
      <c r="F1456" s="48"/>
      <c r="G1456" s="49"/>
      <c r="H1456" s="50"/>
    </row>
    <row r="1457" spans="1:8">
      <c r="A1457" s="20"/>
      <c r="B1457" s="20"/>
      <c r="C1457" s="20"/>
      <c r="D1457" s="20"/>
      <c r="E1457" s="20"/>
      <c r="F1457" s="48"/>
      <c r="G1457" s="49"/>
      <c r="H1457" s="50"/>
    </row>
    <row r="1458" spans="1:8">
      <c r="A1458" s="20"/>
      <c r="B1458" s="20"/>
      <c r="C1458" s="20"/>
      <c r="D1458" s="20"/>
      <c r="E1458" s="20"/>
      <c r="F1458" s="48"/>
      <c r="G1458" s="49"/>
      <c r="H1458" s="50"/>
    </row>
    <row r="1459" spans="1:8">
      <c r="A1459" s="20"/>
      <c r="B1459" s="20"/>
      <c r="C1459" s="20"/>
      <c r="D1459" s="20"/>
      <c r="E1459" s="20"/>
      <c r="F1459" s="48"/>
      <c r="G1459" s="49"/>
      <c r="H1459" s="50"/>
    </row>
    <row r="1460" spans="1:8">
      <c r="A1460" s="20"/>
      <c r="B1460" s="20"/>
      <c r="C1460" s="20"/>
      <c r="D1460" s="20"/>
      <c r="E1460" s="20"/>
      <c r="F1460" s="48"/>
      <c r="G1460" s="49"/>
      <c r="H1460" s="50"/>
    </row>
    <row r="1461" spans="1:8">
      <c r="A1461" s="20"/>
      <c r="B1461" s="20"/>
      <c r="C1461" s="20"/>
      <c r="D1461" s="20"/>
      <c r="E1461" s="20"/>
      <c r="F1461" s="48"/>
      <c r="G1461" s="49"/>
      <c r="H1461" s="50"/>
    </row>
    <row r="1462" spans="1:8">
      <c r="A1462" s="20"/>
      <c r="B1462" s="20"/>
      <c r="C1462" s="20"/>
      <c r="D1462" s="20"/>
      <c r="E1462" s="20"/>
      <c r="F1462" s="48"/>
      <c r="G1462" s="49"/>
      <c r="H1462" s="50"/>
    </row>
    <row r="1463" spans="1:8">
      <c r="A1463" s="20"/>
      <c r="B1463" s="20"/>
      <c r="C1463" s="20"/>
      <c r="D1463" s="20"/>
      <c r="E1463" s="20"/>
      <c r="F1463" s="48"/>
      <c r="G1463" s="49"/>
      <c r="H1463" s="50"/>
    </row>
    <row r="1464" spans="1:8">
      <c r="A1464" s="20"/>
      <c r="B1464" s="20"/>
      <c r="C1464" s="20"/>
      <c r="D1464" s="20"/>
      <c r="E1464" s="20"/>
      <c r="F1464" s="48"/>
      <c r="G1464" s="49"/>
      <c r="H1464" s="50"/>
    </row>
    <row r="1465" spans="1:8">
      <c r="A1465" s="20"/>
      <c r="B1465" s="20"/>
      <c r="C1465" s="20"/>
      <c r="D1465" s="20"/>
      <c r="E1465" s="20"/>
      <c r="F1465" s="48"/>
      <c r="G1465" s="49"/>
      <c r="H1465" s="50"/>
    </row>
    <row r="1466" spans="1:8">
      <c r="A1466" s="20"/>
      <c r="B1466" s="20"/>
      <c r="C1466" s="20"/>
      <c r="D1466" s="20"/>
      <c r="E1466" s="20"/>
      <c r="F1466" s="48"/>
      <c r="G1466" s="49"/>
      <c r="H1466" s="50"/>
    </row>
    <row r="1467" spans="1:8">
      <c r="A1467" s="20"/>
      <c r="B1467" s="20"/>
      <c r="C1467" s="20"/>
      <c r="D1467" s="20"/>
      <c r="E1467" s="20"/>
      <c r="F1467" s="48"/>
      <c r="G1467" s="49"/>
      <c r="H1467" s="50"/>
    </row>
    <row r="1468" spans="1:8">
      <c r="A1468" s="20"/>
      <c r="B1468" s="20"/>
      <c r="C1468" s="20"/>
      <c r="D1468" s="20"/>
      <c r="E1468" s="20"/>
      <c r="F1468" s="48"/>
      <c r="G1468" s="49"/>
      <c r="H1468" s="50"/>
    </row>
    <row r="1469" spans="1:8">
      <c r="A1469" s="20"/>
      <c r="B1469" s="20"/>
      <c r="C1469" s="20"/>
      <c r="D1469" s="20"/>
      <c r="E1469" s="20"/>
      <c r="F1469" s="48"/>
      <c r="G1469" s="49"/>
      <c r="H1469" s="50"/>
    </row>
    <row r="1470" spans="1:8">
      <c r="A1470" s="20"/>
      <c r="B1470" s="20"/>
      <c r="C1470" s="20"/>
      <c r="D1470" s="20"/>
      <c r="E1470" s="20"/>
      <c r="F1470" s="48"/>
      <c r="G1470" s="49"/>
      <c r="H1470" s="50"/>
    </row>
    <row r="1471" spans="1:8">
      <c r="A1471" s="20"/>
      <c r="B1471" s="20"/>
      <c r="C1471" s="20"/>
      <c r="D1471" s="20"/>
      <c r="E1471" s="20"/>
      <c r="F1471" s="48"/>
      <c r="G1471" s="49"/>
      <c r="H1471" s="50"/>
    </row>
    <row r="1472" spans="1:8">
      <c r="A1472" s="20"/>
      <c r="B1472" s="20"/>
      <c r="C1472" s="20"/>
      <c r="D1472" s="20"/>
      <c r="E1472" s="20"/>
      <c r="F1472" s="48"/>
      <c r="G1472" s="49"/>
      <c r="H1472" s="50"/>
    </row>
    <row r="1473" spans="1:8">
      <c r="A1473" s="20"/>
      <c r="B1473" s="20"/>
      <c r="C1473" s="20"/>
      <c r="D1473" s="20"/>
      <c r="E1473" s="20"/>
      <c r="F1473" s="48"/>
      <c r="G1473" s="49"/>
      <c r="H1473" s="50"/>
    </row>
    <row r="1474" spans="1:8">
      <c r="A1474" s="20"/>
      <c r="B1474" s="20"/>
      <c r="C1474" s="20"/>
      <c r="D1474" s="20"/>
      <c r="E1474" s="20"/>
      <c r="F1474" s="48"/>
      <c r="G1474" s="49"/>
      <c r="H1474" s="50"/>
    </row>
    <row r="1475" spans="1:8">
      <c r="A1475" s="20"/>
      <c r="B1475" s="20"/>
      <c r="C1475" s="20"/>
      <c r="D1475" s="20"/>
      <c r="E1475" s="20"/>
      <c r="F1475" s="48"/>
      <c r="G1475" s="49"/>
      <c r="H1475" s="50"/>
    </row>
    <row r="1476" spans="1:8">
      <c r="A1476" s="20"/>
      <c r="B1476" s="20"/>
      <c r="C1476" s="20"/>
      <c r="D1476" s="20"/>
      <c r="E1476" s="20"/>
      <c r="F1476" s="48"/>
      <c r="G1476" s="49"/>
      <c r="H1476" s="50"/>
    </row>
    <row r="1477" spans="1:8">
      <c r="A1477" s="20"/>
      <c r="B1477" s="20"/>
      <c r="C1477" s="20"/>
      <c r="D1477" s="20"/>
      <c r="E1477" s="20"/>
      <c r="F1477" s="48"/>
      <c r="G1477" s="49"/>
      <c r="H1477" s="50"/>
    </row>
    <row r="1478" spans="1:8">
      <c r="A1478" s="20"/>
      <c r="B1478" s="20"/>
      <c r="C1478" s="20"/>
      <c r="D1478" s="20"/>
      <c r="E1478" s="20"/>
      <c r="F1478" s="48"/>
      <c r="G1478" s="49"/>
      <c r="H1478" s="50"/>
    </row>
    <row r="1479" spans="1:8">
      <c r="A1479" s="20"/>
      <c r="B1479" s="20"/>
      <c r="C1479" s="20"/>
      <c r="D1479" s="20"/>
      <c r="E1479" s="20"/>
      <c r="F1479" s="48"/>
      <c r="G1479" s="49"/>
      <c r="H1479" s="50"/>
    </row>
    <row r="1480" spans="1:8">
      <c r="A1480" s="20"/>
      <c r="B1480" s="20"/>
      <c r="C1480" s="20"/>
      <c r="D1480" s="20"/>
      <c r="E1480" s="20"/>
      <c r="F1480" s="48"/>
      <c r="G1480" s="49"/>
      <c r="H1480" s="50"/>
    </row>
    <row r="1481" spans="1:8">
      <c r="A1481" s="20"/>
      <c r="B1481" s="20"/>
      <c r="C1481" s="20"/>
      <c r="D1481" s="20"/>
      <c r="E1481" s="20"/>
      <c r="F1481" s="48"/>
      <c r="G1481" s="49"/>
      <c r="H1481" s="50"/>
    </row>
    <row r="1482" spans="1:8">
      <c r="A1482" s="20"/>
      <c r="B1482" s="20"/>
      <c r="C1482" s="20"/>
      <c r="D1482" s="20"/>
      <c r="E1482" s="20"/>
      <c r="F1482" s="48"/>
      <c r="G1482" s="49"/>
      <c r="H1482" s="50"/>
    </row>
    <row r="1483" spans="1:8">
      <c r="A1483" s="20"/>
      <c r="B1483" s="20"/>
      <c r="C1483" s="20"/>
      <c r="D1483" s="20"/>
      <c r="E1483" s="20"/>
      <c r="F1483" s="48"/>
      <c r="G1483" s="49"/>
      <c r="H1483" s="50"/>
    </row>
    <row r="1484" spans="1:8">
      <c r="A1484" s="20"/>
      <c r="B1484" s="20"/>
      <c r="C1484" s="20"/>
      <c r="D1484" s="20"/>
      <c r="E1484" s="20"/>
      <c r="F1484" s="48"/>
      <c r="G1484" s="49"/>
      <c r="H1484" s="50"/>
    </row>
    <row r="1485" spans="1:8">
      <c r="A1485" s="20"/>
      <c r="B1485" s="20"/>
      <c r="C1485" s="20"/>
      <c r="D1485" s="20"/>
      <c r="E1485" s="20"/>
      <c r="F1485" s="48"/>
      <c r="G1485" s="49"/>
      <c r="H1485" s="50"/>
    </row>
    <row r="1486" spans="1:8">
      <c r="A1486" s="20"/>
      <c r="B1486" s="20"/>
      <c r="C1486" s="20"/>
      <c r="D1486" s="20"/>
      <c r="E1486" s="20"/>
      <c r="F1486" s="48"/>
      <c r="G1486" s="49"/>
      <c r="H1486" s="50"/>
    </row>
    <row r="1487" spans="1:8">
      <c r="A1487" s="20"/>
      <c r="B1487" s="20"/>
      <c r="C1487" s="20"/>
      <c r="D1487" s="20"/>
      <c r="E1487" s="20"/>
      <c r="F1487" s="48"/>
      <c r="G1487" s="49"/>
      <c r="H1487" s="50"/>
    </row>
    <row r="1488" spans="1:8">
      <c r="A1488" s="20"/>
      <c r="B1488" s="20"/>
      <c r="C1488" s="20"/>
      <c r="D1488" s="20"/>
      <c r="E1488" s="20"/>
      <c r="F1488" s="48"/>
      <c r="G1488" s="49"/>
      <c r="H1488" s="50"/>
    </row>
    <row r="1489" spans="1:8">
      <c r="A1489" s="20"/>
      <c r="B1489" s="20"/>
      <c r="C1489" s="20"/>
      <c r="D1489" s="20"/>
      <c r="E1489" s="20"/>
      <c r="F1489" s="48"/>
      <c r="G1489" s="49"/>
      <c r="H1489" s="50"/>
    </row>
    <row r="1490" spans="1:8">
      <c r="A1490" s="20"/>
      <c r="B1490" s="20"/>
      <c r="C1490" s="20"/>
      <c r="D1490" s="20"/>
      <c r="E1490" s="20"/>
      <c r="F1490" s="48"/>
      <c r="G1490" s="49"/>
      <c r="H1490" s="50"/>
    </row>
    <row r="1491" spans="1:8">
      <c r="A1491" s="20"/>
      <c r="B1491" s="20"/>
      <c r="C1491" s="20"/>
      <c r="D1491" s="20"/>
      <c r="E1491" s="20"/>
      <c r="F1491" s="48"/>
      <c r="G1491" s="49"/>
      <c r="H1491" s="50"/>
    </row>
    <row r="1492" spans="1:8">
      <c r="A1492" s="20"/>
      <c r="B1492" s="20"/>
      <c r="C1492" s="20"/>
      <c r="D1492" s="20"/>
      <c r="E1492" s="20"/>
      <c r="F1492" s="48"/>
      <c r="G1492" s="49"/>
      <c r="H1492" s="50"/>
    </row>
    <row r="1493" spans="1:8">
      <c r="A1493" s="20"/>
      <c r="B1493" s="20"/>
      <c r="C1493" s="20"/>
      <c r="D1493" s="20"/>
      <c r="E1493" s="20"/>
      <c r="F1493" s="48"/>
      <c r="G1493" s="49"/>
      <c r="H1493" s="50"/>
    </row>
    <row r="1494" spans="1:8">
      <c r="A1494" s="20"/>
      <c r="B1494" s="20"/>
      <c r="C1494" s="20"/>
      <c r="D1494" s="20"/>
      <c r="E1494" s="20"/>
      <c r="F1494" s="48"/>
      <c r="G1494" s="49"/>
      <c r="H1494" s="50"/>
    </row>
    <row r="1495" spans="1:8">
      <c r="A1495" s="20"/>
      <c r="B1495" s="20"/>
      <c r="C1495" s="20"/>
      <c r="D1495" s="20"/>
      <c r="E1495" s="20"/>
      <c r="F1495" s="48"/>
      <c r="G1495" s="49"/>
      <c r="H1495" s="50"/>
    </row>
    <row r="1496" spans="1:8">
      <c r="A1496" s="20"/>
      <c r="B1496" s="20"/>
      <c r="C1496" s="20"/>
      <c r="D1496" s="20"/>
      <c r="E1496" s="20"/>
      <c r="F1496" s="48"/>
      <c r="G1496" s="49"/>
      <c r="H1496" s="50"/>
    </row>
    <row r="1497" spans="1:8">
      <c r="A1497" s="20"/>
      <c r="B1497" s="20"/>
      <c r="C1497" s="20"/>
      <c r="D1497" s="20"/>
      <c r="E1497" s="20"/>
      <c r="F1497" s="48"/>
      <c r="G1497" s="49"/>
      <c r="H1497" s="50"/>
    </row>
    <row r="1498" spans="1:8">
      <c r="A1498" s="20"/>
      <c r="B1498" s="20"/>
      <c r="C1498" s="20"/>
      <c r="D1498" s="20"/>
      <c r="E1498" s="20"/>
      <c r="F1498" s="48"/>
      <c r="G1498" s="49"/>
      <c r="H1498" s="50"/>
    </row>
    <row r="1499" spans="1:8">
      <c r="A1499" s="20"/>
      <c r="B1499" s="20"/>
      <c r="C1499" s="20"/>
      <c r="D1499" s="20"/>
      <c r="E1499" s="20"/>
      <c r="F1499" s="48"/>
      <c r="G1499" s="49"/>
      <c r="H1499" s="50"/>
    </row>
    <row r="1500" spans="1:8">
      <c r="A1500" s="20"/>
      <c r="B1500" s="20"/>
      <c r="C1500" s="20"/>
      <c r="D1500" s="20"/>
      <c r="E1500" s="20"/>
      <c r="F1500" s="48"/>
      <c r="G1500" s="49"/>
      <c r="H1500" s="50"/>
    </row>
    <row r="1501" spans="1:8">
      <c r="A1501" s="20"/>
      <c r="B1501" s="20"/>
      <c r="C1501" s="20"/>
      <c r="D1501" s="20"/>
      <c r="E1501" s="20"/>
      <c r="F1501" s="48"/>
      <c r="G1501" s="49"/>
      <c r="H1501" s="50"/>
    </row>
    <row r="1502" spans="1:8">
      <c r="A1502" s="20"/>
      <c r="B1502" s="20"/>
      <c r="C1502" s="20"/>
      <c r="D1502" s="20"/>
      <c r="E1502" s="20"/>
      <c r="F1502" s="48"/>
      <c r="G1502" s="49"/>
      <c r="H1502" s="50"/>
    </row>
    <row r="1503" spans="1:8">
      <c r="A1503" s="20"/>
      <c r="B1503" s="20"/>
      <c r="C1503" s="20"/>
      <c r="D1503" s="20"/>
      <c r="E1503" s="20"/>
      <c r="F1503" s="48"/>
      <c r="G1503" s="49"/>
      <c r="H1503" s="50"/>
    </row>
    <row r="1504" spans="1:8">
      <c r="A1504" s="20"/>
      <c r="B1504" s="20"/>
      <c r="C1504" s="20"/>
      <c r="D1504" s="20"/>
      <c r="E1504" s="20"/>
      <c r="F1504" s="48"/>
      <c r="G1504" s="49"/>
      <c r="H1504" s="50"/>
    </row>
    <row r="1505" spans="1:8">
      <c r="A1505" s="20"/>
      <c r="B1505" s="20"/>
      <c r="C1505" s="20"/>
      <c r="D1505" s="20"/>
      <c r="E1505" s="20"/>
      <c r="F1505" s="48"/>
      <c r="G1505" s="49"/>
      <c r="H1505" s="50"/>
    </row>
    <row r="1506" spans="1:8">
      <c r="A1506" s="20"/>
      <c r="B1506" s="20"/>
      <c r="C1506" s="20"/>
      <c r="D1506" s="20"/>
      <c r="E1506" s="20"/>
      <c r="F1506" s="48"/>
      <c r="G1506" s="49"/>
      <c r="H1506" s="50"/>
    </row>
    <row r="1507" spans="1:8">
      <c r="A1507" s="20"/>
      <c r="B1507" s="20"/>
      <c r="C1507" s="20"/>
      <c r="D1507" s="20"/>
      <c r="E1507" s="20"/>
      <c r="F1507" s="48"/>
      <c r="G1507" s="49"/>
      <c r="H1507" s="50"/>
    </row>
    <row r="1508" spans="1:8">
      <c r="A1508" s="20"/>
      <c r="B1508" s="20"/>
      <c r="C1508" s="20"/>
      <c r="D1508" s="20"/>
      <c r="E1508" s="20"/>
      <c r="F1508" s="48"/>
      <c r="G1508" s="49"/>
      <c r="H1508" s="50"/>
    </row>
    <row r="1509" spans="1:8">
      <c r="A1509" s="20"/>
      <c r="B1509" s="20"/>
      <c r="C1509" s="20"/>
      <c r="D1509" s="20"/>
      <c r="E1509" s="20"/>
      <c r="F1509" s="48"/>
      <c r="G1509" s="49"/>
      <c r="H1509" s="50"/>
    </row>
    <row r="1510" spans="1:8">
      <c r="A1510" s="20"/>
      <c r="B1510" s="20"/>
      <c r="C1510" s="20"/>
      <c r="D1510" s="20"/>
      <c r="E1510" s="20"/>
      <c r="F1510" s="48"/>
      <c r="G1510" s="49"/>
      <c r="H1510" s="50"/>
    </row>
    <row r="1511" spans="1:8">
      <c r="A1511" s="20"/>
      <c r="B1511" s="20"/>
      <c r="C1511" s="20"/>
      <c r="D1511" s="20"/>
      <c r="E1511" s="20"/>
      <c r="F1511" s="48"/>
      <c r="G1511" s="49"/>
      <c r="H1511" s="50"/>
    </row>
    <row r="1512" spans="1:8">
      <c r="A1512" s="20"/>
      <c r="B1512" s="20"/>
      <c r="C1512" s="20"/>
      <c r="D1512" s="20"/>
      <c r="E1512" s="20"/>
      <c r="F1512" s="48"/>
      <c r="G1512" s="49"/>
      <c r="H1512" s="50"/>
    </row>
    <row r="1513" spans="1:8">
      <c r="A1513" s="20"/>
      <c r="B1513" s="20"/>
      <c r="C1513" s="20"/>
      <c r="D1513" s="20"/>
      <c r="E1513" s="20"/>
      <c r="F1513" s="48"/>
      <c r="G1513" s="49"/>
      <c r="H1513" s="50"/>
    </row>
    <row r="1514" spans="1:8">
      <c r="A1514" s="20"/>
      <c r="B1514" s="20"/>
      <c r="C1514" s="20"/>
      <c r="D1514" s="20"/>
      <c r="E1514" s="20"/>
      <c r="F1514" s="48"/>
      <c r="G1514" s="49"/>
      <c r="H1514" s="50"/>
    </row>
    <row r="1515" spans="1:8">
      <c r="A1515" s="20"/>
      <c r="B1515" s="20"/>
      <c r="C1515" s="20"/>
      <c r="D1515" s="20"/>
      <c r="E1515" s="20"/>
      <c r="F1515" s="48"/>
      <c r="G1515" s="49"/>
      <c r="H1515" s="50"/>
    </row>
    <row r="1516" spans="1:8">
      <c r="A1516" s="20"/>
      <c r="B1516" s="20"/>
      <c r="C1516" s="20"/>
      <c r="D1516" s="20"/>
      <c r="E1516" s="20"/>
      <c r="F1516" s="48"/>
      <c r="G1516" s="49"/>
      <c r="H1516" s="50"/>
    </row>
    <row r="1517" spans="1:8">
      <c r="A1517" s="20"/>
      <c r="B1517" s="20"/>
      <c r="C1517" s="20"/>
      <c r="D1517" s="20"/>
      <c r="E1517" s="20"/>
      <c r="F1517" s="48"/>
      <c r="G1517" s="49"/>
      <c r="H1517" s="50"/>
    </row>
    <row r="1518" spans="1:8">
      <c r="A1518" s="20"/>
      <c r="B1518" s="20"/>
      <c r="C1518" s="20"/>
      <c r="D1518" s="20"/>
      <c r="E1518" s="20"/>
      <c r="F1518" s="48"/>
      <c r="G1518" s="49"/>
      <c r="H1518" s="50"/>
    </row>
    <row r="1519" spans="1:8">
      <c r="A1519" s="20"/>
      <c r="B1519" s="20"/>
      <c r="C1519" s="20"/>
      <c r="D1519" s="20"/>
      <c r="E1519" s="20"/>
      <c r="F1519" s="48"/>
      <c r="G1519" s="49"/>
      <c r="H1519" s="50"/>
    </row>
    <row r="1520" spans="1:8">
      <c r="A1520" s="20"/>
      <c r="B1520" s="20"/>
      <c r="C1520" s="20"/>
      <c r="D1520" s="20"/>
      <c r="E1520" s="20"/>
      <c r="F1520" s="48"/>
      <c r="G1520" s="49"/>
      <c r="H1520" s="50"/>
    </row>
    <row r="1521" spans="1:8">
      <c r="A1521" s="20"/>
      <c r="B1521" s="20"/>
      <c r="C1521" s="20"/>
      <c r="D1521" s="20"/>
      <c r="E1521" s="20"/>
      <c r="F1521" s="48"/>
      <c r="G1521" s="49"/>
      <c r="H1521" s="50"/>
    </row>
    <row r="1522" spans="1:8">
      <c r="A1522" s="20"/>
      <c r="B1522" s="20"/>
      <c r="C1522" s="20"/>
      <c r="D1522" s="20"/>
      <c r="E1522" s="20"/>
      <c r="F1522" s="48"/>
      <c r="G1522" s="49"/>
      <c r="H1522" s="50"/>
    </row>
    <row r="1523" spans="1:8">
      <c r="A1523" s="20"/>
      <c r="B1523" s="20"/>
      <c r="C1523" s="20"/>
      <c r="D1523" s="20"/>
      <c r="E1523" s="20"/>
      <c r="F1523" s="48"/>
      <c r="G1523" s="49"/>
      <c r="H1523" s="50"/>
    </row>
    <row r="1524" spans="1:8">
      <c r="A1524" s="20"/>
      <c r="B1524" s="20"/>
      <c r="C1524" s="20"/>
      <c r="D1524" s="20"/>
      <c r="E1524" s="20"/>
      <c r="F1524" s="48"/>
      <c r="G1524" s="49"/>
      <c r="H1524" s="50"/>
    </row>
    <row r="1525" spans="1:8">
      <c r="A1525" s="20"/>
      <c r="B1525" s="20"/>
      <c r="C1525" s="20"/>
      <c r="D1525" s="20"/>
      <c r="E1525" s="20"/>
      <c r="F1525" s="48"/>
      <c r="G1525" s="49"/>
      <c r="H1525" s="50"/>
    </row>
    <row r="1526" spans="1:8">
      <c r="A1526" s="20"/>
      <c r="B1526" s="20"/>
      <c r="C1526" s="20"/>
      <c r="D1526" s="20"/>
      <c r="E1526" s="20"/>
      <c r="F1526" s="48"/>
      <c r="G1526" s="49"/>
      <c r="H1526" s="50"/>
    </row>
    <row r="1527" spans="1:8">
      <c r="A1527" s="20"/>
      <c r="B1527" s="20"/>
      <c r="C1527" s="20"/>
      <c r="D1527" s="20"/>
      <c r="E1527" s="20"/>
      <c r="F1527" s="48"/>
      <c r="G1527" s="49"/>
      <c r="H1527" s="50"/>
    </row>
    <row r="1528" spans="1:8">
      <c r="A1528" s="20"/>
      <c r="B1528" s="20"/>
      <c r="C1528" s="20"/>
      <c r="D1528" s="20"/>
      <c r="E1528" s="20"/>
      <c r="F1528" s="48"/>
      <c r="G1528" s="49"/>
      <c r="H1528" s="50"/>
    </row>
    <row r="1529" spans="1:8">
      <c r="A1529" s="20"/>
      <c r="B1529" s="20"/>
      <c r="C1529" s="20"/>
      <c r="D1529" s="20"/>
      <c r="E1529" s="20"/>
      <c r="F1529" s="48"/>
      <c r="G1529" s="49"/>
      <c r="H1529" s="50"/>
    </row>
    <row r="1530" spans="1:8">
      <c r="A1530" s="20"/>
      <c r="B1530" s="20"/>
      <c r="C1530" s="20"/>
      <c r="D1530" s="20"/>
      <c r="E1530" s="20"/>
      <c r="F1530" s="48"/>
      <c r="G1530" s="49"/>
      <c r="H1530" s="50"/>
    </row>
    <row r="1531" spans="1:8">
      <c r="A1531" s="20"/>
      <c r="B1531" s="20"/>
      <c r="C1531" s="20"/>
      <c r="D1531" s="20"/>
      <c r="E1531" s="20"/>
      <c r="F1531" s="48"/>
      <c r="G1531" s="49"/>
      <c r="H1531" s="50"/>
    </row>
    <row r="1532" spans="1:8">
      <c r="A1532" s="20"/>
      <c r="B1532" s="20"/>
      <c r="C1532" s="20"/>
      <c r="D1532" s="20"/>
      <c r="E1532" s="20"/>
      <c r="F1532" s="48"/>
      <c r="G1532" s="49"/>
      <c r="H1532" s="50"/>
    </row>
    <row r="1533" spans="1:8">
      <c r="A1533" s="20"/>
      <c r="B1533" s="20"/>
      <c r="C1533" s="20"/>
      <c r="D1533" s="20"/>
      <c r="E1533" s="20"/>
      <c r="F1533" s="48"/>
      <c r="G1533" s="49"/>
      <c r="H1533" s="50"/>
    </row>
    <row r="1534" spans="1:8">
      <c r="A1534" s="20"/>
      <c r="B1534" s="20"/>
      <c r="C1534" s="20"/>
      <c r="D1534" s="20"/>
      <c r="E1534" s="20"/>
      <c r="F1534" s="48"/>
      <c r="G1534" s="49"/>
      <c r="H1534" s="50"/>
    </row>
    <row r="1535" spans="1:8">
      <c r="A1535" s="20"/>
      <c r="B1535" s="20"/>
      <c r="C1535" s="20"/>
      <c r="D1535" s="20"/>
      <c r="E1535" s="20"/>
      <c r="F1535" s="48"/>
      <c r="G1535" s="49"/>
      <c r="H1535" s="50"/>
    </row>
    <row r="1536" spans="1:8">
      <c r="A1536" s="20"/>
      <c r="B1536" s="20"/>
      <c r="C1536" s="20"/>
      <c r="D1536" s="20"/>
      <c r="E1536" s="20"/>
      <c r="F1536" s="48"/>
      <c r="G1536" s="49"/>
      <c r="H1536" s="50"/>
    </row>
    <row r="1537" spans="1:8">
      <c r="A1537" s="20"/>
      <c r="B1537" s="20"/>
      <c r="C1537" s="20"/>
      <c r="D1537" s="20"/>
      <c r="E1537" s="20"/>
      <c r="F1537" s="48"/>
      <c r="G1537" s="49"/>
      <c r="H1537" s="50"/>
    </row>
    <row r="1538" spans="1:8">
      <c r="A1538" s="20"/>
      <c r="B1538" s="20"/>
      <c r="C1538" s="20"/>
      <c r="D1538" s="20"/>
      <c r="E1538" s="20"/>
      <c r="F1538" s="48"/>
      <c r="G1538" s="49"/>
      <c r="H1538" s="50"/>
    </row>
    <row r="1539" spans="1:8">
      <c r="A1539" s="20"/>
      <c r="B1539" s="20"/>
      <c r="C1539" s="20"/>
      <c r="D1539" s="20"/>
      <c r="E1539" s="20"/>
      <c r="F1539" s="48"/>
      <c r="G1539" s="49"/>
      <c r="H1539" s="50"/>
    </row>
    <row r="1540" spans="1:8">
      <c r="A1540" s="20"/>
      <c r="B1540" s="20"/>
      <c r="C1540" s="20"/>
      <c r="D1540" s="20"/>
      <c r="E1540" s="20"/>
      <c r="F1540" s="48"/>
      <c r="G1540" s="49"/>
      <c r="H1540" s="50"/>
    </row>
    <row r="1541" spans="1:8">
      <c r="A1541" s="20"/>
      <c r="B1541" s="20"/>
      <c r="C1541" s="20"/>
      <c r="D1541" s="20"/>
      <c r="E1541" s="20"/>
      <c r="F1541" s="48"/>
      <c r="G1541" s="49"/>
      <c r="H1541" s="50"/>
    </row>
    <row r="1542" spans="1:8">
      <c r="A1542" s="20"/>
      <c r="B1542" s="20"/>
      <c r="C1542" s="20"/>
      <c r="D1542" s="20"/>
      <c r="E1542" s="20"/>
      <c r="F1542" s="48"/>
      <c r="G1542" s="49"/>
      <c r="H1542" s="50"/>
    </row>
    <row r="1543" spans="1:8">
      <c r="A1543" s="20"/>
      <c r="B1543" s="20"/>
      <c r="C1543" s="20"/>
      <c r="D1543" s="20"/>
      <c r="E1543" s="20"/>
      <c r="F1543" s="48"/>
      <c r="G1543" s="49"/>
      <c r="H1543" s="50"/>
    </row>
    <row r="1544" spans="1:8">
      <c r="A1544" s="20"/>
      <c r="B1544" s="20"/>
      <c r="C1544" s="20"/>
      <c r="D1544" s="20"/>
      <c r="E1544" s="20"/>
      <c r="F1544" s="48"/>
      <c r="G1544" s="49"/>
      <c r="H1544" s="50"/>
    </row>
    <row r="1545" spans="1:8">
      <c r="A1545" s="20"/>
      <c r="B1545" s="20"/>
      <c r="C1545" s="20"/>
      <c r="D1545" s="20"/>
      <c r="E1545" s="20"/>
      <c r="F1545" s="48"/>
      <c r="G1545" s="49"/>
      <c r="H1545" s="50"/>
    </row>
    <row r="1546" spans="1:8">
      <c r="A1546" s="20"/>
      <c r="B1546" s="20"/>
      <c r="C1546" s="20"/>
      <c r="D1546" s="20"/>
      <c r="E1546" s="20"/>
      <c r="F1546" s="48"/>
      <c r="G1546" s="49"/>
      <c r="H1546" s="50"/>
    </row>
    <row r="1547" spans="1:8">
      <c r="A1547" s="20"/>
      <c r="B1547" s="20"/>
      <c r="C1547" s="20"/>
      <c r="D1547" s="20"/>
      <c r="E1547" s="20"/>
      <c r="F1547" s="48"/>
      <c r="G1547" s="49"/>
      <c r="H1547" s="50"/>
    </row>
    <row r="1548" spans="1:8">
      <c r="A1548" s="20"/>
      <c r="B1548" s="20"/>
      <c r="C1548" s="20"/>
      <c r="D1548" s="20"/>
      <c r="E1548" s="20"/>
      <c r="F1548" s="48"/>
      <c r="G1548" s="49"/>
      <c r="H1548" s="50"/>
    </row>
    <row r="1549" spans="1:8">
      <c r="A1549" s="20"/>
      <c r="B1549" s="20"/>
      <c r="C1549" s="20"/>
      <c r="D1549" s="20"/>
      <c r="E1549" s="20"/>
      <c r="F1549" s="48"/>
      <c r="G1549" s="49"/>
      <c r="H1549" s="50"/>
    </row>
    <row r="1550" spans="1:8">
      <c r="A1550" s="20"/>
      <c r="B1550" s="20"/>
      <c r="C1550" s="20"/>
      <c r="D1550" s="20"/>
      <c r="E1550" s="20"/>
      <c r="F1550" s="48"/>
      <c r="G1550" s="49"/>
      <c r="H1550" s="50"/>
    </row>
    <row r="1551" spans="1:8">
      <c r="A1551" s="20"/>
      <c r="B1551" s="20"/>
      <c r="C1551" s="20"/>
      <c r="D1551" s="20"/>
      <c r="E1551" s="20"/>
      <c r="F1551" s="48"/>
      <c r="G1551" s="49"/>
      <c r="H1551" s="50"/>
    </row>
    <row r="1552" spans="1:8">
      <c r="A1552" s="20"/>
      <c r="B1552" s="20"/>
      <c r="C1552" s="20"/>
      <c r="D1552" s="20"/>
      <c r="E1552" s="20"/>
      <c r="F1552" s="48"/>
      <c r="G1552" s="49"/>
      <c r="H1552" s="50"/>
    </row>
    <row r="1553" spans="1:8">
      <c r="A1553" s="20"/>
      <c r="B1553" s="20"/>
      <c r="C1553" s="20"/>
      <c r="D1553" s="20"/>
      <c r="E1553" s="20"/>
      <c r="F1553" s="48"/>
      <c r="G1553" s="49"/>
      <c r="H1553" s="50"/>
    </row>
    <row r="1554" spans="1:8">
      <c r="A1554" s="20"/>
      <c r="B1554" s="20"/>
      <c r="C1554" s="20"/>
      <c r="D1554" s="20"/>
      <c r="E1554" s="20"/>
      <c r="F1554" s="48"/>
      <c r="G1554" s="49"/>
      <c r="H1554" s="50"/>
    </row>
    <row r="1555" spans="1:8">
      <c r="A1555" s="20"/>
      <c r="B1555" s="20"/>
      <c r="C1555" s="20"/>
      <c r="D1555" s="20"/>
      <c r="E1555" s="20"/>
      <c r="F1555" s="48"/>
      <c r="G1555" s="49"/>
      <c r="H1555" s="50"/>
    </row>
    <row r="1556" spans="1:8">
      <c r="A1556" s="20"/>
      <c r="B1556" s="20"/>
      <c r="C1556" s="20"/>
      <c r="D1556" s="20"/>
      <c r="E1556" s="20"/>
      <c r="F1556" s="48"/>
      <c r="G1556" s="49"/>
      <c r="H1556" s="50"/>
    </row>
    <row r="1557" spans="1:8">
      <c r="A1557" s="20"/>
      <c r="B1557" s="20"/>
      <c r="C1557" s="20"/>
      <c r="D1557" s="20"/>
      <c r="E1557" s="20"/>
      <c r="F1557" s="48"/>
      <c r="G1557" s="49"/>
      <c r="H1557" s="50"/>
    </row>
    <row r="1558" spans="1:8">
      <c r="A1558" s="20"/>
      <c r="B1558" s="20"/>
      <c r="C1558" s="20"/>
      <c r="D1558" s="20"/>
      <c r="E1558" s="20"/>
      <c r="F1558" s="48"/>
      <c r="G1558" s="49"/>
      <c r="H1558" s="50"/>
    </row>
    <row r="1559" spans="1:8">
      <c r="A1559" s="20"/>
      <c r="B1559" s="20"/>
      <c r="C1559" s="20"/>
      <c r="D1559" s="20"/>
      <c r="E1559" s="20"/>
      <c r="F1559" s="48"/>
      <c r="G1559" s="49"/>
      <c r="H1559" s="50"/>
    </row>
    <row r="1560" spans="1:8">
      <c r="A1560" s="20"/>
      <c r="B1560" s="20"/>
      <c r="C1560" s="20"/>
      <c r="D1560" s="20"/>
      <c r="E1560" s="20"/>
      <c r="F1560" s="48"/>
      <c r="G1560" s="49"/>
      <c r="H1560" s="50"/>
    </row>
    <row r="1561" spans="1:8">
      <c r="A1561" s="20"/>
      <c r="B1561" s="20"/>
      <c r="C1561" s="20"/>
      <c r="D1561" s="20"/>
      <c r="E1561" s="20"/>
      <c r="F1561" s="48"/>
      <c r="G1561" s="49"/>
      <c r="H1561" s="50"/>
    </row>
    <row r="1562" spans="1:8">
      <c r="A1562" s="20"/>
      <c r="B1562" s="20"/>
      <c r="C1562" s="20"/>
      <c r="D1562" s="20"/>
      <c r="E1562" s="20"/>
      <c r="F1562" s="48"/>
      <c r="G1562" s="49"/>
      <c r="H1562" s="50"/>
    </row>
    <row r="1563" spans="1:8">
      <c r="A1563" s="20"/>
      <c r="B1563" s="20"/>
      <c r="C1563" s="20"/>
      <c r="D1563" s="20"/>
      <c r="E1563" s="20"/>
      <c r="F1563" s="48"/>
      <c r="G1563" s="49"/>
      <c r="H1563" s="50"/>
    </row>
    <row r="1564" spans="1:8">
      <c r="A1564" s="20"/>
      <c r="B1564" s="20"/>
      <c r="C1564" s="20"/>
      <c r="D1564" s="20"/>
      <c r="E1564" s="20"/>
      <c r="F1564" s="48"/>
      <c r="G1564" s="49"/>
      <c r="H1564" s="50"/>
    </row>
    <row r="1565" spans="1:8">
      <c r="A1565" s="20"/>
      <c r="B1565" s="20"/>
      <c r="C1565" s="20"/>
      <c r="D1565" s="20"/>
      <c r="E1565" s="20"/>
      <c r="F1565" s="48"/>
      <c r="G1565" s="49"/>
      <c r="H1565" s="50"/>
    </row>
    <row r="1566" spans="1:8">
      <c r="A1566" s="20"/>
      <c r="B1566" s="20"/>
      <c r="C1566" s="20"/>
      <c r="D1566" s="20"/>
      <c r="E1566" s="20"/>
      <c r="F1566" s="48"/>
      <c r="G1566" s="49"/>
      <c r="H1566" s="50"/>
    </row>
    <row r="1567" spans="1:8">
      <c r="A1567" s="20"/>
      <c r="B1567" s="20"/>
      <c r="C1567" s="20"/>
      <c r="D1567" s="20"/>
      <c r="E1567" s="20"/>
      <c r="F1567" s="48"/>
      <c r="G1567" s="49"/>
      <c r="H1567" s="50"/>
    </row>
    <row r="1568" spans="1:8">
      <c r="A1568" s="20"/>
      <c r="B1568" s="20"/>
      <c r="C1568" s="20"/>
      <c r="D1568" s="20"/>
      <c r="E1568" s="20"/>
      <c r="F1568" s="48"/>
      <c r="G1568" s="49"/>
      <c r="H1568" s="50"/>
    </row>
    <row r="1569" spans="1:8">
      <c r="A1569" s="20"/>
      <c r="B1569" s="20"/>
      <c r="C1569" s="20"/>
      <c r="D1569" s="20"/>
      <c r="E1569" s="20"/>
      <c r="F1569" s="48"/>
      <c r="G1569" s="49"/>
      <c r="H1569" s="50"/>
    </row>
    <row r="1570" spans="1:8">
      <c r="A1570" s="20"/>
      <c r="B1570" s="20"/>
      <c r="C1570" s="20"/>
      <c r="D1570" s="20"/>
      <c r="E1570" s="20"/>
      <c r="F1570" s="48"/>
      <c r="G1570" s="49"/>
      <c r="H1570" s="50"/>
    </row>
    <row r="1571" spans="1:8">
      <c r="A1571" s="20"/>
      <c r="B1571" s="20"/>
      <c r="C1571" s="20"/>
      <c r="D1571" s="20"/>
      <c r="E1571" s="20"/>
      <c r="F1571" s="48"/>
      <c r="G1571" s="49"/>
      <c r="H1571" s="50"/>
    </row>
    <row r="1572" spans="1:8">
      <c r="A1572" s="20"/>
      <c r="B1572" s="20"/>
      <c r="C1572" s="20"/>
      <c r="D1572" s="20"/>
      <c r="E1572" s="20"/>
      <c r="F1572" s="48"/>
      <c r="G1572" s="49"/>
      <c r="H1572" s="50"/>
    </row>
    <row r="1573" spans="1:8">
      <c r="A1573" s="20"/>
      <c r="B1573" s="20"/>
      <c r="C1573" s="20"/>
      <c r="D1573" s="20"/>
      <c r="E1573" s="20"/>
      <c r="F1573" s="48"/>
      <c r="G1573" s="49"/>
      <c r="H1573" s="50"/>
    </row>
    <row r="1574" spans="1:8">
      <c r="A1574" s="20"/>
      <c r="B1574" s="20"/>
      <c r="C1574" s="20"/>
      <c r="D1574" s="20"/>
      <c r="E1574" s="20"/>
      <c r="F1574" s="48"/>
      <c r="G1574" s="49"/>
      <c r="H1574" s="50"/>
    </row>
    <row r="1575" spans="1:8">
      <c r="A1575" s="20"/>
      <c r="B1575" s="20"/>
      <c r="C1575" s="20"/>
      <c r="D1575" s="20"/>
      <c r="E1575" s="20"/>
      <c r="F1575" s="48"/>
      <c r="G1575" s="49"/>
      <c r="H1575" s="50"/>
    </row>
    <row r="1576" spans="1:8">
      <c r="A1576" s="20"/>
      <c r="B1576" s="20"/>
      <c r="C1576" s="20"/>
      <c r="D1576" s="20"/>
      <c r="E1576" s="20"/>
      <c r="F1576" s="48"/>
      <c r="G1576" s="49"/>
      <c r="H1576" s="50"/>
    </row>
    <row r="1577" spans="1:8">
      <c r="A1577" s="20"/>
      <c r="B1577" s="20"/>
      <c r="C1577" s="20"/>
      <c r="D1577" s="20"/>
      <c r="E1577" s="20"/>
      <c r="F1577" s="48"/>
      <c r="G1577" s="49"/>
      <c r="H1577" s="50"/>
    </row>
    <row r="1578" spans="1:8">
      <c r="A1578" s="20"/>
      <c r="B1578" s="20"/>
      <c r="C1578" s="20"/>
      <c r="D1578" s="20"/>
      <c r="E1578" s="20"/>
      <c r="F1578" s="48"/>
      <c r="G1578" s="49"/>
      <c r="H1578" s="50"/>
    </row>
    <row r="1579" spans="1:8">
      <c r="A1579" s="20"/>
      <c r="B1579" s="20"/>
      <c r="C1579" s="20"/>
      <c r="D1579" s="20"/>
      <c r="E1579" s="20"/>
      <c r="F1579" s="48"/>
      <c r="G1579" s="49"/>
      <c r="H1579" s="50"/>
    </row>
    <row r="1580" spans="1:8">
      <c r="A1580" s="20"/>
      <c r="B1580" s="20"/>
      <c r="C1580" s="20"/>
      <c r="D1580" s="20"/>
      <c r="E1580" s="20"/>
      <c r="F1580" s="48"/>
      <c r="G1580" s="49"/>
      <c r="H1580" s="50"/>
    </row>
    <row r="1581" spans="1:8">
      <c r="A1581" s="20"/>
      <c r="B1581" s="20"/>
      <c r="C1581" s="20"/>
      <c r="D1581" s="20"/>
      <c r="E1581" s="20"/>
      <c r="F1581" s="48"/>
      <c r="G1581" s="49"/>
      <c r="H1581" s="50"/>
    </row>
    <row r="1582" spans="1:8">
      <c r="A1582" s="20"/>
      <c r="B1582" s="20"/>
      <c r="C1582" s="20"/>
      <c r="D1582" s="20"/>
      <c r="E1582" s="20"/>
      <c r="F1582" s="48"/>
      <c r="G1582" s="49"/>
      <c r="H1582" s="50"/>
    </row>
    <row r="1583" spans="1:8">
      <c r="A1583" s="20"/>
      <c r="B1583" s="20"/>
      <c r="C1583" s="20"/>
      <c r="D1583" s="20"/>
      <c r="E1583" s="20"/>
      <c r="F1583" s="48"/>
      <c r="G1583" s="49"/>
      <c r="H1583" s="50"/>
    </row>
    <row r="1584" spans="1:8">
      <c r="A1584" s="20"/>
      <c r="B1584" s="20"/>
      <c r="C1584" s="20"/>
      <c r="D1584" s="20"/>
      <c r="E1584" s="20"/>
      <c r="F1584" s="48"/>
      <c r="G1584" s="49"/>
      <c r="H1584" s="50"/>
    </row>
    <row r="1585" spans="1:8">
      <c r="A1585" s="20"/>
      <c r="B1585" s="20"/>
      <c r="C1585" s="20"/>
      <c r="D1585" s="20"/>
      <c r="E1585" s="20"/>
      <c r="F1585" s="48"/>
      <c r="G1585" s="49"/>
      <c r="H1585" s="50"/>
    </row>
    <row r="1586" spans="1:8">
      <c r="A1586" s="20"/>
      <c r="B1586" s="20"/>
      <c r="C1586" s="20"/>
      <c r="D1586" s="20"/>
      <c r="E1586" s="20"/>
      <c r="F1586" s="48"/>
      <c r="G1586" s="49"/>
      <c r="H1586" s="50"/>
    </row>
    <row r="1587" spans="1:8">
      <c r="A1587" s="20"/>
      <c r="B1587" s="20"/>
      <c r="C1587" s="20"/>
      <c r="D1587" s="20"/>
      <c r="E1587" s="20"/>
      <c r="F1587" s="48"/>
      <c r="G1587" s="49"/>
      <c r="H1587" s="50"/>
    </row>
    <row r="1588" spans="1:8">
      <c r="A1588" s="20"/>
      <c r="B1588" s="20"/>
      <c r="C1588" s="20"/>
      <c r="D1588" s="20"/>
      <c r="E1588" s="20"/>
      <c r="F1588" s="48"/>
      <c r="G1588" s="49"/>
      <c r="H1588" s="50"/>
    </row>
    <row r="1589" spans="1:8">
      <c r="A1589" s="20"/>
      <c r="B1589" s="20"/>
      <c r="C1589" s="20"/>
      <c r="D1589" s="20"/>
      <c r="E1589" s="20"/>
      <c r="F1589" s="48"/>
      <c r="G1589" s="49"/>
      <c r="H1589" s="50"/>
    </row>
    <row r="1590" spans="1:8">
      <c r="A1590" s="20"/>
      <c r="B1590" s="20"/>
      <c r="C1590" s="20"/>
      <c r="D1590" s="20"/>
      <c r="E1590" s="20"/>
      <c r="F1590" s="48"/>
      <c r="G1590" s="49"/>
      <c r="H1590" s="50"/>
    </row>
    <row r="1591" spans="1:8">
      <c r="A1591" s="20"/>
      <c r="B1591" s="20"/>
      <c r="C1591" s="20"/>
      <c r="D1591" s="20"/>
      <c r="E1591" s="20"/>
      <c r="F1591" s="48"/>
      <c r="G1591" s="49"/>
      <c r="H1591" s="50"/>
    </row>
    <row r="1592" spans="1:8">
      <c r="A1592" s="20"/>
      <c r="B1592" s="20"/>
      <c r="C1592" s="20"/>
      <c r="D1592" s="20"/>
      <c r="E1592" s="20"/>
      <c r="F1592" s="48"/>
      <c r="G1592" s="49"/>
      <c r="H1592" s="50"/>
    </row>
    <row r="1593" spans="1:8">
      <c r="A1593" s="20"/>
      <c r="B1593" s="20"/>
      <c r="C1593" s="20"/>
      <c r="D1593" s="20"/>
      <c r="E1593" s="20"/>
      <c r="F1593" s="48"/>
      <c r="G1593" s="49"/>
      <c r="H1593" s="50"/>
    </row>
    <row r="1594" spans="1:8">
      <c r="A1594" s="20"/>
      <c r="B1594" s="20"/>
      <c r="C1594" s="20"/>
      <c r="D1594" s="20"/>
      <c r="E1594" s="20"/>
      <c r="F1594" s="48"/>
      <c r="G1594" s="49"/>
      <c r="H1594" s="50"/>
    </row>
    <row r="1595" spans="1:8">
      <c r="A1595" s="20"/>
      <c r="B1595" s="20"/>
      <c r="C1595" s="20"/>
      <c r="D1595" s="20"/>
      <c r="E1595" s="20"/>
      <c r="F1595" s="48"/>
      <c r="G1595" s="49"/>
      <c r="H1595" s="50"/>
    </row>
    <row r="1596" spans="1:8">
      <c r="A1596" s="20"/>
      <c r="B1596" s="20"/>
      <c r="C1596" s="20"/>
      <c r="D1596" s="20"/>
      <c r="E1596" s="20"/>
      <c r="F1596" s="48"/>
      <c r="G1596" s="49"/>
      <c r="H1596" s="50"/>
    </row>
    <row r="1597" spans="1:8">
      <c r="A1597" s="20"/>
      <c r="B1597" s="20"/>
      <c r="C1597" s="20"/>
      <c r="D1597" s="20"/>
      <c r="E1597" s="20"/>
      <c r="F1597" s="48"/>
      <c r="G1597" s="49"/>
      <c r="H1597" s="50"/>
    </row>
    <row r="1598" spans="1:8">
      <c r="A1598" s="20"/>
      <c r="B1598" s="20"/>
      <c r="C1598" s="20"/>
      <c r="D1598" s="20"/>
      <c r="E1598" s="20"/>
      <c r="F1598" s="48"/>
      <c r="G1598" s="49"/>
      <c r="H1598" s="50"/>
    </row>
    <row r="1599" spans="1:8">
      <c r="A1599" s="20"/>
      <c r="B1599" s="20"/>
      <c r="C1599" s="20"/>
      <c r="D1599" s="20"/>
      <c r="E1599" s="20"/>
      <c r="F1599" s="48"/>
      <c r="G1599" s="49"/>
      <c r="H1599" s="50"/>
    </row>
    <row r="1600" spans="1:8">
      <c r="A1600" s="20"/>
      <c r="B1600" s="20"/>
      <c r="C1600" s="20"/>
      <c r="D1600" s="20"/>
      <c r="E1600" s="20"/>
      <c r="F1600" s="48"/>
      <c r="G1600" s="49"/>
      <c r="H1600" s="50"/>
    </row>
    <row r="1601" spans="1:8">
      <c r="A1601" s="20"/>
      <c r="B1601" s="20"/>
      <c r="C1601" s="20"/>
      <c r="D1601" s="20"/>
      <c r="E1601" s="20"/>
      <c r="F1601" s="48"/>
      <c r="G1601" s="49"/>
      <c r="H1601" s="50"/>
    </row>
    <row r="1602" spans="1:8">
      <c r="A1602" s="20"/>
      <c r="B1602" s="20"/>
      <c r="C1602" s="20"/>
      <c r="D1602" s="20"/>
      <c r="E1602" s="20"/>
      <c r="F1602" s="48"/>
      <c r="G1602" s="49"/>
      <c r="H1602" s="50"/>
    </row>
    <row r="1603" spans="1:8">
      <c r="A1603" s="20"/>
      <c r="B1603" s="20"/>
      <c r="C1603" s="20"/>
      <c r="D1603" s="20"/>
      <c r="E1603" s="20"/>
      <c r="F1603" s="48"/>
      <c r="G1603" s="49"/>
      <c r="H1603" s="50"/>
    </row>
    <row r="1604" spans="1:8">
      <c r="A1604" s="20"/>
      <c r="B1604" s="20"/>
      <c r="C1604" s="20"/>
      <c r="D1604" s="20"/>
      <c r="E1604" s="20"/>
      <c r="F1604" s="48"/>
      <c r="G1604" s="49"/>
      <c r="H1604" s="50"/>
    </row>
    <row r="1605" spans="1:8">
      <c r="A1605" s="20"/>
      <c r="B1605" s="20"/>
      <c r="C1605" s="20"/>
      <c r="D1605" s="20"/>
      <c r="E1605" s="20"/>
      <c r="F1605" s="48"/>
      <c r="G1605" s="49"/>
      <c r="H1605" s="50"/>
    </row>
    <row r="1606" spans="1:8">
      <c r="A1606" s="20"/>
      <c r="B1606" s="20"/>
      <c r="C1606" s="20"/>
      <c r="D1606" s="20"/>
      <c r="E1606" s="20"/>
      <c r="F1606" s="48"/>
      <c r="G1606" s="49"/>
      <c r="H1606" s="50"/>
    </row>
    <row r="1607" spans="1:8">
      <c r="A1607" s="20"/>
      <c r="B1607" s="20"/>
      <c r="C1607" s="20"/>
      <c r="D1607" s="20"/>
      <c r="E1607" s="20"/>
      <c r="F1607" s="48"/>
      <c r="G1607" s="49"/>
      <c r="H1607" s="50"/>
    </row>
    <row r="1608" spans="1:8">
      <c r="A1608" s="20"/>
      <c r="B1608" s="20"/>
      <c r="C1608" s="20"/>
      <c r="D1608" s="20"/>
      <c r="E1608" s="20"/>
      <c r="F1608" s="48"/>
      <c r="G1608" s="49"/>
      <c r="H1608" s="50"/>
    </row>
    <row r="1609" spans="1:8">
      <c r="A1609" s="20"/>
      <c r="B1609" s="20"/>
      <c r="C1609" s="20"/>
      <c r="D1609" s="20"/>
      <c r="E1609" s="20"/>
      <c r="F1609" s="48"/>
      <c r="G1609" s="49"/>
      <c r="H1609" s="50"/>
    </row>
    <row r="1610" spans="1:8">
      <c r="A1610" s="20"/>
      <c r="B1610" s="20"/>
      <c r="C1610" s="20"/>
      <c r="D1610" s="20"/>
      <c r="E1610" s="20"/>
      <c r="F1610" s="48"/>
      <c r="G1610" s="49"/>
      <c r="H1610" s="50"/>
    </row>
    <row r="1611" spans="1:8">
      <c r="A1611" s="20"/>
      <c r="B1611" s="20"/>
      <c r="C1611" s="20"/>
      <c r="D1611" s="20"/>
      <c r="E1611" s="20"/>
      <c r="F1611" s="48"/>
      <c r="G1611" s="49"/>
      <c r="H1611" s="50"/>
    </row>
    <row r="1612" spans="1:8">
      <c r="A1612" s="20"/>
      <c r="B1612" s="20"/>
      <c r="C1612" s="20"/>
      <c r="D1612" s="20"/>
      <c r="E1612" s="20"/>
      <c r="F1612" s="48"/>
      <c r="G1612" s="49"/>
      <c r="H1612" s="50"/>
    </row>
    <row r="1613" spans="1:8">
      <c r="A1613" s="20"/>
      <c r="B1613" s="20"/>
      <c r="C1613" s="20"/>
      <c r="D1613" s="20"/>
      <c r="E1613" s="20"/>
      <c r="F1613" s="48"/>
      <c r="G1613" s="49"/>
      <c r="H1613" s="5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9"/>
  <sheetViews>
    <sheetView workbookViewId="0">
      <selection activeCell="E37" sqref="E37"/>
    </sheetView>
  </sheetViews>
  <sheetFormatPr defaultColWidth="9" defaultRowHeight="15"/>
  <sheetData>
    <row r="1" spans="1:1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>
      <c r="A2" s="1">
        <v>65</v>
      </c>
      <c r="B2" s="1">
        <v>5</v>
      </c>
      <c r="C2" s="1">
        <v>0.078</v>
      </c>
      <c r="D2" s="1">
        <v>1</v>
      </c>
      <c r="E2" s="2">
        <v>0</v>
      </c>
      <c r="F2" s="1">
        <v>20</v>
      </c>
      <c r="G2" s="3">
        <v>0.831152647810126</v>
      </c>
      <c r="H2" s="4">
        <v>20.1</v>
      </c>
      <c r="I2" s="1">
        <v>7.1</v>
      </c>
      <c r="J2" s="7">
        <v>332.629073784697</v>
      </c>
      <c r="K2" s="8">
        <v>52.2486023402028</v>
      </c>
      <c r="L2" s="9">
        <v>0.9247854551027</v>
      </c>
    </row>
    <row r="3" spans="1:12">
      <c r="A3" s="1">
        <v>65</v>
      </c>
      <c r="B3" s="1">
        <v>5.8</v>
      </c>
      <c r="C3" s="1">
        <v>0.078</v>
      </c>
      <c r="D3" s="1">
        <v>1</v>
      </c>
      <c r="E3" s="2">
        <v>0</v>
      </c>
      <c r="F3" s="1">
        <v>20</v>
      </c>
      <c r="G3" s="3">
        <v>0.831152647810126</v>
      </c>
      <c r="H3" s="4">
        <v>20.1</v>
      </c>
      <c r="I3" s="1">
        <v>8.1</v>
      </c>
      <c r="J3" s="7">
        <v>382.611758355796</v>
      </c>
      <c r="K3" s="8">
        <v>60.4803887408466</v>
      </c>
      <c r="L3" s="9">
        <v>0.909528994155164</v>
      </c>
    </row>
    <row r="4" spans="1:12">
      <c r="A4" s="1">
        <v>65</v>
      </c>
      <c r="B4" s="1">
        <v>6.6</v>
      </c>
      <c r="C4" s="1">
        <v>0.078</v>
      </c>
      <c r="D4" s="1">
        <v>1</v>
      </c>
      <c r="E4" s="2">
        <v>0</v>
      </c>
      <c r="F4" s="1">
        <v>20</v>
      </c>
      <c r="G4" s="3">
        <v>0.831152647810126</v>
      </c>
      <c r="H4" s="4">
        <v>20.1</v>
      </c>
      <c r="I4" s="1">
        <v>9.1</v>
      </c>
      <c r="J4" s="7">
        <v>432.59028601637</v>
      </c>
      <c r="K4" s="8">
        <v>68.9267071090611</v>
      </c>
      <c r="L4" s="9">
        <v>0.897974194067266</v>
      </c>
    </row>
    <row r="5" spans="1:12">
      <c r="A5" s="1">
        <v>65</v>
      </c>
      <c r="B5" s="1">
        <v>7.4</v>
      </c>
      <c r="C5" s="1">
        <v>0.078</v>
      </c>
      <c r="D5" s="1">
        <v>1</v>
      </c>
      <c r="E5" s="2">
        <v>0</v>
      </c>
      <c r="F5" s="1">
        <v>20</v>
      </c>
      <c r="G5" s="3">
        <v>0.831152647810126</v>
      </c>
      <c r="H5" s="4">
        <v>20.1</v>
      </c>
      <c r="I5" s="1">
        <v>10.2</v>
      </c>
      <c r="J5" s="7">
        <v>484.93444660105</v>
      </c>
      <c r="K5" s="8">
        <v>78.185898515411</v>
      </c>
      <c r="L5" s="9">
        <v>0.897721709411348</v>
      </c>
    </row>
    <row r="6" spans="1:12">
      <c r="A6" s="1">
        <v>65</v>
      </c>
      <c r="B6" s="1">
        <v>8.2</v>
      </c>
      <c r="C6" s="1">
        <v>0.078</v>
      </c>
      <c r="D6" s="1">
        <v>1</v>
      </c>
      <c r="E6" s="2">
        <v>0</v>
      </c>
      <c r="F6" s="1">
        <v>20</v>
      </c>
      <c r="G6" s="3">
        <v>0.831152647810126</v>
      </c>
      <c r="H6" s="4">
        <v>20.1</v>
      </c>
      <c r="I6" s="1">
        <v>11.1</v>
      </c>
      <c r="J6" s="7">
        <v>532.534863276489</v>
      </c>
      <c r="K6" s="8">
        <v>86.5925643989112</v>
      </c>
      <c r="L6" s="9">
        <v>0.88163592473227</v>
      </c>
    </row>
    <row r="7" spans="1:12">
      <c r="A7" s="1">
        <v>65</v>
      </c>
      <c r="B7" s="1">
        <v>9</v>
      </c>
      <c r="C7" s="1">
        <v>0.078</v>
      </c>
      <c r="D7" s="1">
        <v>1</v>
      </c>
      <c r="E7" s="2">
        <v>0</v>
      </c>
      <c r="F7" s="1">
        <v>20</v>
      </c>
      <c r="G7" s="3">
        <v>0.831152647810126</v>
      </c>
      <c r="H7" s="4">
        <v>20.2</v>
      </c>
      <c r="I7" s="1">
        <v>12</v>
      </c>
      <c r="J7" s="7">
        <v>580.131117541356</v>
      </c>
      <c r="K7" s="8">
        <v>95.2514817676482</v>
      </c>
      <c r="L7" s="9">
        <v>0.868411897523004</v>
      </c>
    </row>
    <row r="8" spans="1:12">
      <c r="A8" s="1">
        <v>65</v>
      </c>
      <c r="B8" s="1">
        <v>9.8</v>
      </c>
      <c r="C8" s="1">
        <v>0.078</v>
      </c>
      <c r="D8" s="1">
        <v>1</v>
      </c>
      <c r="E8" s="2">
        <v>0</v>
      </c>
      <c r="F8" s="1">
        <v>20</v>
      </c>
      <c r="G8" s="3">
        <v>0.831152647810126</v>
      </c>
      <c r="H8" s="4">
        <v>20.2</v>
      </c>
      <c r="I8" s="1">
        <v>13</v>
      </c>
      <c r="J8" s="7">
        <v>630.092999226341</v>
      </c>
      <c r="K8" s="8">
        <v>104.850272623783</v>
      </c>
      <c r="L8" s="9">
        <v>0.863994903864628</v>
      </c>
    </row>
    <row r="9" spans="1:12">
      <c r="A9" s="1">
        <v>60</v>
      </c>
      <c r="B9" s="1">
        <v>5</v>
      </c>
      <c r="C9" s="1">
        <v>0.078</v>
      </c>
      <c r="D9" s="1">
        <v>1</v>
      </c>
      <c r="E9" s="2">
        <v>0</v>
      </c>
      <c r="F9" s="1">
        <v>20</v>
      </c>
      <c r="G9" s="3">
        <v>0.868253123396246</v>
      </c>
      <c r="H9" s="4">
        <v>20.1</v>
      </c>
      <c r="I9" s="1">
        <v>5.6</v>
      </c>
      <c r="J9" s="7">
        <v>263.232132923544</v>
      </c>
      <c r="K9" s="8">
        <v>44.8234565922012</v>
      </c>
      <c r="L9" s="9">
        <v>0.888237851904315</v>
      </c>
    </row>
    <row r="10" spans="1:12">
      <c r="A10" s="1">
        <v>60</v>
      </c>
      <c r="B10" s="1">
        <v>5.8</v>
      </c>
      <c r="C10" s="1">
        <v>0.078</v>
      </c>
      <c r="D10" s="1">
        <v>1</v>
      </c>
      <c r="E10" s="2">
        <v>0</v>
      </c>
      <c r="F10" s="1">
        <v>20</v>
      </c>
      <c r="G10" s="3">
        <v>0.868253123396246</v>
      </c>
      <c r="H10" s="4">
        <v>20.1</v>
      </c>
      <c r="I10" s="1">
        <v>6.3</v>
      </c>
      <c r="J10" s="7">
        <v>300.689132743304</v>
      </c>
      <c r="K10" s="8">
        <v>51.2467089465552</v>
      </c>
      <c r="L10" s="9">
        <v>0.861451320835799</v>
      </c>
    </row>
    <row r="11" spans="1:12">
      <c r="A11" s="1">
        <v>60</v>
      </c>
      <c r="B11" s="1">
        <v>6.6</v>
      </c>
      <c r="C11" s="1">
        <v>0.078</v>
      </c>
      <c r="D11" s="1">
        <v>1</v>
      </c>
      <c r="E11" s="2">
        <v>0</v>
      </c>
      <c r="F11" s="1">
        <v>20</v>
      </c>
      <c r="G11" s="3">
        <v>0.868253123396246</v>
      </c>
      <c r="H11" s="4">
        <v>20.1</v>
      </c>
      <c r="I11" s="1">
        <v>7.1</v>
      </c>
      <c r="J11" s="7">
        <v>340.511684375076</v>
      </c>
      <c r="K11" s="8">
        <v>58.3143003980027</v>
      </c>
      <c r="L11" s="9">
        <v>0.853177767523035</v>
      </c>
    </row>
    <row r="12" spans="1:12">
      <c r="A12" s="1">
        <v>60</v>
      </c>
      <c r="B12" s="1">
        <v>7.4</v>
      </c>
      <c r="C12" s="1">
        <v>0.078</v>
      </c>
      <c r="D12" s="1">
        <v>1</v>
      </c>
      <c r="E12" s="2">
        <v>0</v>
      </c>
      <c r="F12" s="1">
        <v>20</v>
      </c>
      <c r="G12" s="3">
        <v>0.868253123396246</v>
      </c>
      <c r="H12" s="4">
        <v>20.1</v>
      </c>
      <c r="I12" s="1">
        <v>7.9</v>
      </c>
      <c r="J12" s="7">
        <v>380.329994173585</v>
      </c>
      <c r="K12" s="8">
        <v>65.5385414312466</v>
      </c>
      <c r="L12" s="9">
        <v>0.84669582741512</v>
      </c>
    </row>
    <row r="13" spans="1:12">
      <c r="A13" s="1">
        <v>60</v>
      </c>
      <c r="B13" s="1">
        <v>8.2</v>
      </c>
      <c r="C13" s="1">
        <v>0.078</v>
      </c>
      <c r="D13" s="1">
        <v>1</v>
      </c>
      <c r="E13" s="2">
        <v>0</v>
      </c>
      <c r="F13" s="1">
        <v>20</v>
      </c>
      <c r="G13" s="3">
        <v>0.868253123396246</v>
      </c>
      <c r="H13" s="4">
        <v>20.1</v>
      </c>
      <c r="I13" s="1">
        <v>8.6</v>
      </c>
      <c r="J13" s="7">
        <v>417.774268492149</v>
      </c>
      <c r="K13" s="8">
        <v>72.34097909275</v>
      </c>
      <c r="L13" s="9">
        <v>0.831808929065909</v>
      </c>
    </row>
    <row r="14" spans="1:12">
      <c r="A14" s="1">
        <v>60</v>
      </c>
      <c r="B14" s="1">
        <v>9</v>
      </c>
      <c r="C14" s="1">
        <v>0.078</v>
      </c>
      <c r="D14" s="1">
        <v>1</v>
      </c>
      <c r="E14" s="2">
        <v>0</v>
      </c>
      <c r="F14" s="1">
        <v>20</v>
      </c>
      <c r="G14" s="3">
        <v>0.868253123396246</v>
      </c>
      <c r="H14" s="4">
        <v>20.2</v>
      </c>
      <c r="I14" s="1">
        <v>9.3</v>
      </c>
      <c r="J14" s="7">
        <v>455.214297016004</v>
      </c>
      <c r="K14" s="8">
        <v>79.2919625984819</v>
      </c>
      <c r="L14" s="9">
        <v>0.819570559408059</v>
      </c>
    </row>
    <row r="15" spans="1:12">
      <c r="A15" s="1">
        <v>60</v>
      </c>
      <c r="B15" s="1">
        <v>9.8</v>
      </c>
      <c r="C15" s="1">
        <v>0.078</v>
      </c>
      <c r="D15" s="1">
        <v>1</v>
      </c>
      <c r="E15" s="2">
        <v>0</v>
      </c>
      <c r="F15" s="1">
        <v>20</v>
      </c>
      <c r="G15" s="3">
        <v>0.868253123396246</v>
      </c>
      <c r="H15" s="4">
        <v>20.2</v>
      </c>
      <c r="I15" s="1">
        <v>10</v>
      </c>
      <c r="J15" s="7">
        <v>492.650077762311</v>
      </c>
      <c r="K15" s="8">
        <v>86.4082290610658</v>
      </c>
      <c r="L15" s="9">
        <v>0.809332099170219</v>
      </c>
    </row>
    <row r="16" spans="1:12">
      <c r="A16" s="1">
        <v>55</v>
      </c>
      <c r="B16" s="1">
        <v>5</v>
      </c>
      <c r="C16" s="1">
        <v>0.078</v>
      </c>
      <c r="D16" s="1">
        <v>1</v>
      </c>
      <c r="E16" s="2">
        <v>0</v>
      </c>
      <c r="F16" s="1">
        <v>20</v>
      </c>
      <c r="G16" s="3">
        <v>0.89760467536325</v>
      </c>
      <c r="H16" s="4">
        <v>20.1</v>
      </c>
      <c r="I16" s="1">
        <v>4.3</v>
      </c>
      <c r="J16" s="7">
        <v>204.011428189397</v>
      </c>
      <c r="K16" s="8">
        <v>38.1811237911273</v>
      </c>
      <c r="L16" s="9">
        <v>0.834442620271425</v>
      </c>
    </row>
    <row r="17" spans="1:12">
      <c r="A17" s="1">
        <v>55</v>
      </c>
      <c r="B17" s="1">
        <v>5.8</v>
      </c>
      <c r="C17" s="1">
        <v>0.078</v>
      </c>
      <c r="D17" s="1">
        <v>1</v>
      </c>
      <c r="E17" s="2">
        <v>0</v>
      </c>
      <c r="F17" s="1">
        <v>20</v>
      </c>
      <c r="G17" s="3">
        <v>0.89760467536325</v>
      </c>
      <c r="H17" s="4">
        <v>20.1</v>
      </c>
      <c r="I17" s="1">
        <v>4.9</v>
      </c>
      <c r="J17" s="7">
        <v>234.552229986073</v>
      </c>
      <c r="K17" s="8">
        <v>43.8899707955912</v>
      </c>
      <c r="L17" s="9">
        <v>0.819734286880181</v>
      </c>
    </row>
    <row r="18" spans="1:12">
      <c r="A18" s="1">
        <v>55</v>
      </c>
      <c r="B18" s="1">
        <v>6.6</v>
      </c>
      <c r="C18" s="1">
        <v>0.078</v>
      </c>
      <c r="D18" s="1">
        <v>1</v>
      </c>
      <c r="E18" s="2">
        <v>0</v>
      </c>
      <c r="F18" s="1">
        <v>20</v>
      </c>
      <c r="G18" s="3">
        <v>0.89760467536325</v>
      </c>
      <c r="H18" s="4">
        <v>20.1</v>
      </c>
      <c r="I18" s="1">
        <v>5.5</v>
      </c>
      <c r="J18" s="7">
        <v>265.088719787581</v>
      </c>
      <c r="K18" s="8">
        <v>49.6671759222414</v>
      </c>
      <c r="L18" s="9">
        <v>0.808594448383703</v>
      </c>
    </row>
    <row r="19" spans="1:12">
      <c r="A19" s="1">
        <v>55</v>
      </c>
      <c r="B19" s="1">
        <v>7.4</v>
      </c>
      <c r="C19" s="1">
        <v>0.078</v>
      </c>
      <c r="D19" s="1">
        <v>1</v>
      </c>
      <c r="E19" s="2">
        <v>0</v>
      </c>
      <c r="F19" s="1">
        <v>20</v>
      </c>
      <c r="G19" s="3">
        <v>0.89760467536325</v>
      </c>
      <c r="H19" s="4">
        <v>20.1</v>
      </c>
      <c r="I19" s="1">
        <v>6.1</v>
      </c>
      <c r="J19" s="7">
        <v>295.620895490356</v>
      </c>
      <c r="K19" s="8">
        <v>55.5284592618598</v>
      </c>
      <c r="L19" s="9">
        <v>0.79986575508639</v>
      </c>
    </row>
    <row r="20" spans="1:12">
      <c r="A20" s="1">
        <v>55</v>
      </c>
      <c r="B20" s="1">
        <v>8.2</v>
      </c>
      <c r="C20" s="1">
        <v>0.078</v>
      </c>
      <c r="D20" s="1">
        <v>1</v>
      </c>
      <c r="E20" s="2">
        <v>0</v>
      </c>
      <c r="F20" s="1">
        <v>20</v>
      </c>
      <c r="G20" s="3">
        <v>0.89760467536325</v>
      </c>
      <c r="H20" s="4">
        <v>20.1</v>
      </c>
      <c r="I20" s="1">
        <v>6.6</v>
      </c>
      <c r="J20" s="7">
        <v>323.778963322679</v>
      </c>
      <c r="K20" s="8">
        <v>60.8661143208873</v>
      </c>
      <c r="L20" s="9">
        <v>0.781009035716215</v>
      </c>
    </row>
    <row r="21" spans="1:12">
      <c r="A21" s="1">
        <v>55</v>
      </c>
      <c r="B21" s="1">
        <v>9</v>
      </c>
      <c r="C21" s="1">
        <v>0.078</v>
      </c>
      <c r="D21" s="1">
        <v>1</v>
      </c>
      <c r="E21" s="2">
        <v>0</v>
      </c>
      <c r="F21" s="1">
        <v>20</v>
      </c>
      <c r="G21" s="3">
        <v>0.89760467536325</v>
      </c>
      <c r="H21" s="4">
        <v>20.2</v>
      </c>
      <c r="I21" s="1">
        <v>7.2</v>
      </c>
      <c r="J21" s="7">
        <v>354.302504511332</v>
      </c>
      <c r="K21" s="8">
        <v>66.9158391221254</v>
      </c>
      <c r="L21" s="9">
        <v>0.776288136207271</v>
      </c>
    </row>
    <row r="22" spans="1:12">
      <c r="A22" s="1">
        <v>55</v>
      </c>
      <c r="B22" s="1">
        <v>9.8</v>
      </c>
      <c r="C22" s="1">
        <v>0.078</v>
      </c>
      <c r="D22" s="1">
        <v>1</v>
      </c>
      <c r="E22" s="2">
        <v>0</v>
      </c>
      <c r="F22" s="1">
        <v>20</v>
      </c>
      <c r="G22" s="3">
        <v>0.89760467536325</v>
      </c>
      <c r="H22" s="4">
        <v>20.2</v>
      </c>
      <c r="I22" s="1">
        <v>7.7</v>
      </c>
      <c r="J22" s="7">
        <v>382.45193361494</v>
      </c>
      <c r="K22" s="8">
        <v>72.4244487036067</v>
      </c>
      <c r="L22" s="9">
        <v>0.762438113636547</v>
      </c>
    </row>
    <row r="23" spans="1:12">
      <c r="A23" s="1">
        <v>50</v>
      </c>
      <c r="B23" s="1">
        <v>5</v>
      </c>
      <c r="C23" s="1">
        <v>0.078</v>
      </c>
      <c r="D23" s="1">
        <v>1</v>
      </c>
      <c r="E23" s="2">
        <v>0</v>
      </c>
      <c r="F23" s="1">
        <v>20</v>
      </c>
      <c r="G23" s="3">
        <v>0.920818198615511</v>
      </c>
      <c r="H23" s="4">
        <v>20.1</v>
      </c>
      <c r="I23" s="1">
        <v>3.3</v>
      </c>
      <c r="J23" s="7">
        <v>156.560103172489</v>
      </c>
      <c r="K23" s="8">
        <v>32.88497091765</v>
      </c>
      <c r="L23" s="9">
        <v>0.787324456276909</v>
      </c>
    </row>
    <row r="24" spans="1:12">
      <c r="A24" s="1">
        <v>50</v>
      </c>
      <c r="B24" s="1">
        <v>5.8</v>
      </c>
      <c r="C24" s="1">
        <v>0.078</v>
      </c>
      <c r="D24" s="1">
        <v>1</v>
      </c>
      <c r="E24" s="2">
        <v>0</v>
      </c>
      <c r="F24" s="1">
        <v>20</v>
      </c>
      <c r="G24" s="3">
        <v>0.920818198615511</v>
      </c>
      <c r="H24" s="4">
        <v>20.1</v>
      </c>
      <c r="I24" s="1">
        <v>3.8</v>
      </c>
      <c r="J24" s="7">
        <v>180.930340223818</v>
      </c>
      <c r="K24" s="8">
        <v>37.9546938401737</v>
      </c>
      <c r="L24" s="9">
        <v>0.781578228681557</v>
      </c>
    </row>
    <row r="25" spans="1:12">
      <c r="A25" s="1">
        <v>50</v>
      </c>
      <c r="B25" s="1">
        <v>6.6</v>
      </c>
      <c r="C25" s="1">
        <v>0.078</v>
      </c>
      <c r="D25" s="1">
        <v>1</v>
      </c>
      <c r="E25" s="2">
        <v>0</v>
      </c>
      <c r="F25" s="1">
        <v>20</v>
      </c>
      <c r="G25" s="3">
        <v>0.920818198615511</v>
      </c>
      <c r="H25" s="4">
        <v>20.1</v>
      </c>
      <c r="I25" s="1">
        <v>4.2</v>
      </c>
      <c r="J25" s="7">
        <v>202.926410495509</v>
      </c>
      <c r="K25" s="8">
        <v>42.4394196697284</v>
      </c>
      <c r="L25" s="9">
        <v>0.75915288873917</v>
      </c>
    </row>
    <row r="26" spans="1:12">
      <c r="A26" s="1">
        <v>50</v>
      </c>
      <c r="B26" s="1">
        <v>7.4</v>
      </c>
      <c r="C26" s="1">
        <v>0.078</v>
      </c>
      <c r="D26" s="1">
        <v>1</v>
      </c>
      <c r="E26" s="2">
        <v>0</v>
      </c>
      <c r="F26" s="1">
        <v>20</v>
      </c>
      <c r="G26" s="3">
        <v>0.920818198615511</v>
      </c>
      <c r="H26" s="4">
        <v>20.1</v>
      </c>
      <c r="I26" s="1">
        <v>4.6</v>
      </c>
      <c r="J26" s="7">
        <v>224.918103444233</v>
      </c>
      <c r="K26" s="8">
        <v>46.9503857815198</v>
      </c>
      <c r="L26" s="9">
        <v>0.741578362654784</v>
      </c>
    </row>
    <row r="27" spans="1:12">
      <c r="A27" s="1">
        <v>50</v>
      </c>
      <c r="B27" s="1">
        <v>8.2</v>
      </c>
      <c r="C27" s="1">
        <v>0.078</v>
      </c>
      <c r="D27" s="1">
        <v>1</v>
      </c>
      <c r="E27" s="2">
        <v>0</v>
      </c>
      <c r="F27" s="1">
        <v>20</v>
      </c>
      <c r="G27" s="3">
        <v>0.920818198615511</v>
      </c>
      <c r="H27" s="4">
        <v>20.1</v>
      </c>
      <c r="I27" s="1">
        <v>5</v>
      </c>
      <c r="J27" s="7">
        <v>246.905416858431</v>
      </c>
      <c r="K27" s="8">
        <v>51.4964518000026</v>
      </c>
      <c r="L27" s="9">
        <v>0.727434900030935</v>
      </c>
    </row>
    <row r="28" spans="1:12">
      <c r="A28" s="1">
        <v>50</v>
      </c>
      <c r="B28" s="1">
        <v>9</v>
      </c>
      <c r="C28" s="1">
        <v>0.078</v>
      </c>
      <c r="D28" s="1">
        <v>1</v>
      </c>
      <c r="E28" s="2">
        <v>0</v>
      </c>
      <c r="F28" s="1">
        <v>20</v>
      </c>
      <c r="G28" s="3">
        <v>0.920818198615511</v>
      </c>
      <c r="H28" s="4">
        <v>20.2</v>
      </c>
      <c r="I28" s="1">
        <v>5.4</v>
      </c>
      <c r="J28" s="7">
        <v>268.888348524979</v>
      </c>
      <c r="K28" s="8">
        <v>56.0856712259974</v>
      </c>
      <c r="L28" s="9">
        <v>0.715807550611479</v>
      </c>
    </row>
    <row r="29" spans="1:12">
      <c r="A29" s="1">
        <v>50</v>
      </c>
      <c r="B29" s="1">
        <v>9.8</v>
      </c>
      <c r="C29" s="1">
        <v>0.078</v>
      </c>
      <c r="D29" s="1">
        <v>1</v>
      </c>
      <c r="E29" s="2">
        <v>0</v>
      </c>
      <c r="F29" s="1">
        <v>20</v>
      </c>
      <c r="G29" s="3">
        <v>0.920818198615511</v>
      </c>
      <c r="H29" s="4">
        <v>20.2</v>
      </c>
      <c r="I29" s="1">
        <v>5.8</v>
      </c>
      <c r="J29" s="7">
        <v>290.86689622919</v>
      </c>
      <c r="K29" s="8">
        <v>60.7255317448976</v>
      </c>
      <c r="L29" s="9">
        <v>0.706080123407587</v>
      </c>
    </row>
    <row r="30" spans="1:12">
      <c r="A30" s="1">
        <v>65</v>
      </c>
      <c r="B30" s="1">
        <v>5</v>
      </c>
      <c r="C30" s="1">
        <v>0.03</v>
      </c>
      <c r="D30" s="1">
        <v>1</v>
      </c>
      <c r="E30" s="2">
        <v>0</v>
      </c>
      <c r="F30" s="1">
        <v>20</v>
      </c>
      <c r="G30" s="3">
        <v>0.831152647810126</v>
      </c>
      <c r="H30" s="4">
        <v>20.1</v>
      </c>
      <c r="I30" s="1">
        <v>14.3</v>
      </c>
      <c r="J30" s="7">
        <v>294.71240711803</v>
      </c>
      <c r="K30" s="8">
        <v>55.1559831663362</v>
      </c>
      <c r="L30" s="9">
        <v>0.716383099023218</v>
      </c>
    </row>
    <row r="31" spans="1:12">
      <c r="A31" s="1">
        <v>65</v>
      </c>
      <c r="B31" s="1">
        <v>5.8</v>
      </c>
      <c r="C31" s="1">
        <v>0.03</v>
      </c>
      <c r="D31" s="1">
        <v>1</v>
      </c>
      <c r="E31" s="2">
        <v>0</v>
      </c>
      <c r="F31" s="1">
        <v>20</v>
      </c>
      <c r="G31" s="3">
        <v>0.831152647810126</v>
      </c>
      <c r="H31" s="4">
        <v>20.1</v>
      </c>
      <c r="I31" s="1">
        <v>15.8</v>
      </c>
      <c r="J31" s="7">
        <v>334.684100590248</v>
      </c>
      <c r="K31" s="8">
        <v>65.2893209822827</v>
      </c>
      <c r="L31" s="9">
        <v>0.682351878741671</v>
      </c>
    </row>
    <row r="32" spans="1:12">
      <c r="A32" s="1">
        <v>65</v>
      </c>
      <c r="B32" s="1">
        <v>6.6</v>
      </c>
      <c r="C32" s="1">
        <v>0.03</v>
      </c>
      <c r="D32" s="1">
        <v>1</v>
      </c>
      <c r="E32" s="2">
        <v>0</v>
      </c>
      <c r="F32" s="1">
        <v>20</v>
      </c>
      <c r="G32" s="3">
        <v>0.831152647810126</v>
      </c>
      <c r="H32" s="4">
        <v>20.1</v>
      </c>
      <c r="I32" s="1">
        <v>17.4</v>
      </c>
      <c r="J32" s="7">
        <v>375.532994349703</v>
      </c>
      <c r="K32" s="8">
        <v>74.3150730127762</v>
      </c>
      <c r="L32" s="9">
        <v>0.660386769939578</v>
      </c>
    </row>
    <row r="33" spans="1:12">
      <c r="A33" s="1">
        <v>65</v>
      </c>
      <c r="B33" s="1">
        <v>7.4</v>
      </c>
      <c r="C33" s="1">
        <v>0.03</v>
      </c>
      <c r="D33" s="1">
        <v>1</v>
      </c>
      <c r="E33" s="2">
        <v>0</v>
      </c>
      <c r="F33" s="1">
        <v>20</v>
      </c>
      <c r="G33" s="3">
        <v>0.831152647810126</v>
      </c>
      <c r="H33" s="4">
        <v>20.1</v>
      </c>
      <c r="I33" s="1">
        <v>18.8</v>
      </c>
      <c r="J33" s="7">
        <v>414.569863267717</v>
      </c>
      <c r="K33" s="8">
        <v>84.3766590834354</v>
      </c>
      <c r="L33" s="9">
        <v>0.636393971980895</v>
      </c>
    </row>
    <row r="34" spans="1:12">
      <c r="A34" s="1">
        <v>65</v>
      </c>
      <c r="B34" s="1">
        <v>8.2</v>
      </c>
      <c r="C34" s="1">
        <v>0.03</v>
      </c>
      <c r="D34" s="1">
        <v>1</v>
      </c>
      <c r="E34" s="2">
        <v>0</v>
      </c>
      <c r="F34" s="1">
        <v>20</v>
      </c>
      <c r="G34" s="3">
        <v>0.831152647810126</v>
      </c>
      <c r="H34" s="4">
        <v>20.1</v>
      </c>
      <c r="I34" s="1">
        <v>20.3</v>
      </c>
      <c r="J34" s="7">
        <v>454.514029943156</v>
      </c>
      <c r="K34" s="8">
        <v>95.7313901942957</v>
      </c>
      <c r="L34" s="9">
        <v>0.620138921415976</v>
      </c>
    </row>
    <row r="35" spans="1:12">
      <c r="A35" s="1">
        <v>65</v>
      </c>
      <c r="B35" s="1">
        <v>9</v>
      </c>
      <c r="C35" s="1">
        <v>0.03</v>
      </c>
      <c r="D35" s="1">
        <v>1</v>
      </c>
      <c r="E35" s="2">
        <v>0</v>
      </c>
      <c r="F35" s="1">
        <v>20</v>
      </c>
      <c r="G35" s="3">
        <v>0.831152647810126</v>
      </c>
      <c r="H35" s="4">
        <v>20.2</v>
      </c>
      <c r="I35" s="1">
        <v>21.6</v>
      </c>
      <c r="J35" s="7">
        <v>492.631117541356</v>
      </c>
      <c r="K35" s="8">
        <v>106.998546592442</v>
      </c>
      <c r="L35" s="9">
        <v>0.601208236746695</v>
      </c>
    </row>
    <row r="36" spans="1:12">
      <c r="A36" s="1">
        <v>65</v>
      </c>
      <c r="B36" s="1">
        <v>9.8</v>
      </c>
      <c r="C36" s="1">
        <v>0.03</v>
      </c>
      <c r="D36" s="1">
        <v>1</v>
      </c>
      <c r="E36" s="2">
        <v>0</v>
      </c>
      <c r="F36" s="1">
        <v>20</v>
      </c>
      <c r="G36" s="3">
        <v>0.831152647810126</v>
      </c>
      <c r="H36" s="4">
        <v>20.2</v>
      </c>
      <c r="I36" s="1">
        <v>22.7</v>
      </c>
      <c r="J36" s="7">
        <v>528.921124226341</v>
      </c>
      <c r="K36" s="8">
        <v>117.948171828117</v>
      </c>
      <c r="L36" s="9">
        <v>0.580256932477132</v>
      </c>
    </row>
    <row r="37" spans="1:12">
      <c r="A37" s="1">
        <v>60</v>
      </c>
      <c r="B37" s="1">
        <v>5</v>
      </c>
      <c r="C37" s="1">
        <v>0.03</v>
      </c>
      <c r="D37" s="1">
        <v>1</v>
      </c>
      <c r="E37" s="2">
        <v>0</v>
      </c>
      <c r="F37" s="1">
        <v>20</v>
      </c>
      <c r="G37" s="3">
        <v>0.868253123396246</v>
      </c>
      <c r="H37" s="4">
        <v>20.1</v>
      </c>
      <c r="I37" s="1">
        <v>11.4</v>
      </c>
      <c r="J37" s="7">
        <v>234.430049590211</v>
      </c>
      <c r="K37" s="8">
        <v>46.5240154628885</v>
      </c>
      <c r="L37" s="9">
        <v>0.695460955474532</v>
      </c>
    </row>
    <row r="38" spans="1:12">
      <c r="A38" s="1">
        <v>60</v>
      </c>
      <c r="B38" s="1">
        <v>5.8</v>
      </c>
      <c r="C38" s="1">
        <v>0.03</v>
      </c>
      <c r="D38" s="1">
        <v>1</v>
      </c>
      <c r="E38" s="2">
        <v>0</v>
      </c>
      <c r="F38" s="1">
        <v>20</v>
      </c>
      <c r="G38" s="3">
        <v>0.868253123396246</v>
      </c>
      <c r="H38" s="4">
        <v>20.1</v>
      </c>
      <c r="I38" s="1">
        <v>12.7</v>
      </c>
      <c r="J38" s="7">
        <v>267.147466076637</v>
      </c>
      <c r="K38" s="8">
        <v>54.1777970976828</v>
      </c>
      <c r="L38" s="9">
        <v>0.667914027754252</v>
      </c>
    </row>
    <row r="39" spans="1:12">
      <c r="A39" s="1">
        <v>60</v>
      </c>
      <c r="B39" s="1">
        <v>6.6</v>
      </c>
      <c r="C39" s="1">
        <v>0.03</v>
      </c>
      <c r="D39" s="1">
        <v>1</v>
      </c>
      <c r="E39" s="2">
        <v>0</v>
      </c>
      <c r="F39" s="1">
        <v>20</v>
      </c>
      <c r="G39" s="3">
        <v>0.868253123396246</v>
      </c>
      <c r="H39" s="4">
        <v>20.1</v>
      </c>
      <c r="I39" s="1">
        <v>14.1</v>
      </c>
      <c r="J39" s="7">
        <v>300.772101041742</v>
      </c>
      <c r="K39" s="8">
        <v>62.7037088263367</v>
      </c>
      <c r="L39" s="9">
        <v>0.651668825681191</v>
      </c>
    </row>
    <row r="40" spans="1:12">
      <c r="A40" s="1">
        <v>60</v>
      </c>
      <c r="B40" s="1">
        <v>7.4</v>
      </c>
      <c r="C40" s="1">
        <v>0.03</v>
      </c>
      <c r="D40" s="1">
        <v>1</v>
      </c>
      <c r="E40" s="2">
        <v>0</v>
      </c>
      <c r="F40" s="1">
        <v>20</v>
      </c>
      <c r="G40" s="3">
        <v>0.868253123396246</v>
      </c>
      <c r="H40" s="4">
        <v>20.1</v>
      </c>
      <c r="I40" s="1">
        <v>15.3</v>
      </c>
      <c r="J40" s="7">
        <v>332.569577506919</v>
      </c>
      <c r="K40" s="8">
        <v>71.0215945806694</v>
      </c>
      <c r="L40" s="9">
        <v>0.630693581278059</v>
      </c>
    </row>
    <row r="41" spans="1:12">
      <c r="A41" s="1">
        <v>60</v>
      </c>
      <c r="B41" s="1">
        <v>8.2</v>
      </c>
      <c r="C41" s="1">
        <v>0.03</v>
      </c>
      <c r="D41" s="1">
        <v>1</v>
      </c>
      <c r="E41" s="2">
        <v>0</v>
      </c>
      <c r="F41" s="1">
        <v>20</v>
      </c>
      <c r="G41" s="3">
        <v>0.868253123396246</v>
      </c>
      <c r="H41" s="4">
        <v>20.1</v>
      </c>
      <c r="I41" s="1">
        <v>16.6</v>
      </c>
      <c r="J41" s="7">
        <v>365.274268492149</v>
      </c>
      <c r="K41" s="8">
        <v>80.3862330052591</v>
      </c>
      <c r="L41" s="9">
        <v>0.617532568090075</v>
      </c>
    </row>
    <row r="42" spans="1:12">
      <c r="A42" s="1">
        <v>60</v>
      </c>
      <c r="B42" s="1">
        <v>9</v>
      </c>
      <c r="C42" s="1">
        <v>0.03</v>
      </c>
      <c r="D42" s="1">
        <v>1</v>
      </c>
      <c r="E42" s="2">
        <v>0</v>
      </c>
      <c r="F42" s="1">
        <v>20</v>
      </c>
      <c r="G42" s="3">
        <v>0.868253123396246</v>
      </c>
      <c r="H42" s="4">
        <v>20.2</v>
      </c>
      <c r="I42" s="1">
        <v>17.8</v>
      </c>
      <c r="J42" s="7">
        <v>397.063255349338</v>
      </c>
      <c r="K42" s="8">
        <v>89.9868196413809</v>
      </c>
      <c r="L42" s="9">
        <v>0.603323240589886</v>
      </c>
    </row>
    <row r="43" spans="1:12">
      <c r="A43" s="1">
        <v>60</v>
      </c>
      <c r="B43" s="1">
        <v>9.8</v>
      </c>
      <c r="C43" s="1">
        <v>0.03</v>
      </c>
      <c r="D43" s="1">
        <v>1</v>
      </c>
      <c r="E43" s="2">
        <v>0</v>
      </c>
      <c r="F43" s="1">
        <v>20</v>
      </c>
      <c r="G43" s="3">
        <v>0.868253123396246</v>
      </c>
      <c r="H43" s="4">
        <v>20.2</v>
      </c>
      <c r="I43" s="1">
        <v>18.8</v>
      </c>
      <c r="J43" s="7">
        <v>427.025077762311</v>
      </c>
      <c r="K43" s="8">
        <v>99.1774398362697</v>
      </c>
      <c r="L43" s="9">
        <v>0.585209364015389</v>
      </c>
    </row>
    <row r="44" spans="1:12">
      <c r="A44" s="1">
        <v>55</v>
      </c>
      <c r="B44" s="1">
        <v>5</v>
      </c>
      <c r="C44" s="1">
        <v>0.03</v>
      </c>
      <c r="D44" s="1">
        <v>1</v>
      </c>
      <c r="E44" s="2">
        <v>0</v>
      </c>
      <c r="F44" s="1">
        <v>20</v>
      </c>
      <c r="G44" s="3">
        <v>0.89760467536325</v>
      </c>
      <c r="H44" s="4">
        <v>20.1</v>
      </c>
      <c r="I44" s="1">
        <v>9.1</v>
      </c>
      <c r="J44" s="7">
        <v>185.053094856064</v>
      </c>
      <c r="K44" s="8">
        <v>39.8569081550589</v>
      </c>
      <c r="L44" s="9">
        <v>0.679197481616276</v>
      </c>
    </row>
    <row r="45" spans="1:12">
      <c r="A45" s="1">
        <v>55</v>
      </c>
      <c r="B45" s="1">
        <v>5.8</v>
      </c>
      <c r="C45" s="1">
        <v>0.03</v>
      </c>
      <c r="D45" s="1">
        <v>1</v>
      </c>
      <c r="E45" s="2">
        <v>0</v>
      </c>
      <c r="F45" s="1">
        <v>20</v>
      </c>
      <c r="G45" s="3">
        <v>0.89760467536325</v>
      </c>
      <c r="H45" s="4">
        <v>20.1</v>
      </c>
      <c r="I45" s="1">
        <v>10.1</v>
      </c>
      <c r="J45" s="7">
        <v>210.489729986073</v>
      </c>
      <c r="K45" s="8">
        <v>46.0389413624768</v>
      </c>
      <c r="L45" s="9">
        <v>0.64986784124724</v>
      </c>
    </row>
    <row r="46" spans="1:12">
      <c r="A46" s="1">
        <v>55</v>
      </c>
      <c r="B46" s="1">
        <v>6.6</v>
      </c>
      <c r="C46" s="1">
        <v>0.03</v>
      </c>
      <c r="D46" s="1">
        <v>1</v>
      </c>
      <c r="E46" s="2">
        <v>0</v>
      </c>
      <c r="F46" s="1">
        <v>20</v>
      </c>
      <c r="G46" s="3">
        <v>0.89760467536325</v>
      </c>
      <c r="H46" s="4">
        <v>20.1</v>
      </c>
      <c r="I46" s="1">
        <v>11.2</v>
      </c>
      <c r="J46" s="7">
        <v>236.833511454247</v>
      </c>
      <c r="K46" s="8">
        <v>52.9069773971451</v>
      </c>
      <c r="L46" s="9">
        <v>0.633304742790033</v>
      </c>
    </row>
    <row r="47" spans="1:12">
      <c r="A47" s="1">
        <v>55</v>
      </c>
      <c r="B47" s="1">
        <v>7.4</v>
      </c>
      <c r="C47" s="1">
        <v>0.03</v>
      </c>
      <c r="D47" s="1">
        <v>1</v>
      </c>
      <c r="E47" s="2">
        <v>0</v>
      </c>
      <c r="F47" s="1">
        <v>20</v>
      </c>
      <c r="G47" s="3">
        <v>0.89760467536325</v>
      </c>
      <c r="H47" s="4">
        <v>20.1</v>
      </c>
      <c r="I47" s="1">
        <v>12.2</v>
      </c>
      <c r="J47" s="7">
        <v>262.261520490356</v>
      </c>
      <c r="K47" s="8">
        <v>59.7750502424211</v>
      </c>
      <c r="L47" s="9">
        <v>0.615281350066453</v>
      </c>
    </row>
    <row r="48" spans="1:12">
      <c r="A48" s="1">
        <v>55</v>
      </c>
      <c r="B48" s="1">
        <v>8.2</v>
      </c>
      <c r="C48" s="1">
        <v>0.03</v>
      </c>
      <c r="D48" s="1">
        <v>1</v>
      </c>
      <c r="E48" s="2">
        <v>0</v>
      </c>
      <c r="F48" s="1">
        <v>20</v>
      </c>
      <c r="G48" s="3">
        <v>0.89760467536325</v>
      </c>
      <c r="H48" s="4">
        <v>20.1</v>
      </c>
      <c r="I48" s="1">
        <v>13.2</v>
      </c>
      <c r="J48" s="7">
        <v>287.685213322679</v>
      </c>
      <c r="K48" s="8">
        <v>67.047161754564</v>
      </c>
      <c r="L48" s="9">
        <v>0.600776181320166</v>
      </c>
    </row>
    <row r="49" spans="1:12">
      <c r="A49" s="1">
        <v>55</v>
      </c>
      <c r="B49" s="1">
        <v>9</v>
      </c>
      <c r="C49" s="1">
        <v>0.03</v>
      </c>
      <c r="D49" s="1">
        <v>1</v>
      </c>
      <c r="E49" s="2">
        <v>0</v>
      </c>
      <c r="F49" s="1">
        <v>20</v>
      </c>
      <c r="G49" s="3">
        <v>0.89760467536325</v>
      </c>
      <c r="H49" s="4">
        <v>20.2</v>
      </c>
      <c r="I49" s="1">
        <v>14.1</v>
      </c>
      <c r="J49" s="7">
        <v>312.193129511332</v>
      </c>
      <c r="K49" s="8">
        <v>74.2774278558333</v>
      </c>
      <c r="L49" s="9">
        <v>0.584704205156117</v>
      </c>
    </row>
    <row r="50" spans="1:12">
      <c r="A50" s="1">
        <v>55</v>
      </c>
      <c r="B50" s="1">
        <v>9.8</v>
      </c>
      <c r="C50" s="1">
        <v>0.03</v>
      </c>
      <c r="D50" s="1">
        <v>1</v>
      </c>
      <c r="E50" s="2">
        <v>0</v>
      </c>
      <c r="F50" s="1">
        <v>20</v>
      </c>
      <c r="G50" s="3">
        <v>0.89760467536325</v>
      </c>
      <c r="H50" s="4">
        <v>20.2</v>
      </c>
      <c r="I50" s="1">
        <v>15</v>
      </c>
      <c r="J50" s="7">
        <v>336.696725281607</v>
      </c>
      <c r="K50" s="8">
        <v>81.9393862894093</v>
      </c>
      <c r="L50" s="9">
        <v>0.571257327899511</v>
      </c>
    </row>
    <row r="51" spans="1:12">
      <c r="A51" s="1">
        <v>50</v>
      </c>
      <c r="B51" s="1">
        <v>5</v>
      </c>
      <c r="C51" s="1">
        <v>0.03</v>
      </c>
      <c r="D51" s="1">
        <v>1</v>
      </c>
      <c r="E51" s="2">
        <v>0</v>
      </c>
      <c r="F51" s="1">
        <v>20</v>
      </c>
      <c r="G51" s="3">
        <v>0.920818198615511</v>
      </c>
      <c r="H51" s="4">
        <v>20.1</v>
      </c>
      <c r="I51" s="1">
        <v>7.5</v>
      </c>
      <c r="J51" s="7">
        <v>146.716353172489</v>
      </c>
      <c r="K51" s="8">
        <v>35.4745758672982</v>
      </c>
      <c r="L51" s="9">
        <v>0.688220678563732</v>
      </c>
    </row>
    <row r="52" spans="1:12">
      <c r="A52" s="1">
        <v>50</v>
      </c>
      <c r="B52" s="1">
        <v>5.8</v>
      </c>
      <c r="C52" s="1">
        <v>0.03</v>
      </c>
      <c r="D52" s="1">
        <v>1</v>
      </c>
      <c r="E52" s="2">
        <v>0</v>
      </c>
      <c r="F52" s="1">
        <v>20</v>
      </c>
      <c r="G52" s="3">
        <v>0.920818198615511</v>
      </c>
      <c r="H52" s="4">
        <v>20.1</v>
      </c>
      <c r="I52" s="1">
        <v>8.2</v>
      </c>
      <c r="J52" s="7">
        <v>165.617840223818</v>
      </c>
      <c r="K52" s="8">
        <v>40.386508845754</v>
      </c>
      <c r="L52" s="9">
        <v>0.648678286962426</v>
      </c>
    </row>
    <row r="53" spans="1:12">
      <c r="A53" s="1">
        <v>50</v>
      </c>
      <c r="B53" s="1">
        <v>6.6</v>
      </c>
      <c r="C53" s="1">
        <v>0.03</v>
      </c>
      <c r="D53" s="1">
        <v>1</v>
      </c>
      <c r="E53" s="2">
        <v>0</v>
      </c>
      <c r="F53" s="1">
        <v>20</v>
      </c>
      <c r="G53" s="3">
        <v>0.920818198615511</v>
      </c>
      <c r="H53" s="4">
        <v>20.1</v>
      </c>
      <c r="I53" s="1">
        <v>8.9</v>
      </c>
      <c r="J53" s="7">
        <v>184.514952162176</v>
      </c>
      <c r="K53" s="8">
        <v>45.4650521519121</v>
      </c>
      <c r="L53" s="9">
        <v>0.618723508221484</v>
      </c>
    </row>
    <row r="54" spans="1:12">
      <c r="A54" s="1">
        <v>50</v>
      </c>
      <c r="B54" s="1">
        <v>7.4</v>
      </c>
      <c r="C54" s="1">
        <v>0.03</v>
      </c>
      <c r="D54" s="1">
        <v>1</v>
      </c>
      <c r="E54" s="2">
        <v>0</v>
      </c>
      <c r="F54" s="1">
        <v>20</v>
      </c>
      <c r="G54" s="3">
        <v>0.920818198615511</v>
      </c>
      <c r="H54" s="4">
        <v>20.1</v>
      </c>
      <c r="I54" s="1">
        <v>9.6</v>
      </c>
      <c r="J54" s="7">
        <v>203.407686777567</v>
      </c>
      <c r="K54" s="8">
        <v>50.7340689602837</v>
      </c>
      <c r="L54" s="9">
        <v>0.595246846278087</v>
      </c>
    </row>
    <row r="55" spans="1:12">
      <c r="A55" s="1">
        <v>50</v>
      </c>
      <c r="B55" s="1">
        <v>8.2</v>
      </c>
      <c r="C55" s="1">
        <v>0.03</v>
      </c>
      <c r="D55" s="1">
        <v>1</v>
      </c>
      <c r="E55" s="2">
        <v>0</v>
      </c>
      <c r="F55" s="1">
        <v>20</v>
      </c>
      <c r="G55" s="3">
        <v>0.920818198615511</v>
      </c>
      <c r="H55" s="4">
        <v>20.1</v>
      </c>
      <c r="I55" s="1">
        <v>10.2</v>
      </c>
      <c r="J55" s="7">
        <v>221.384583525098</v>
      </c>
      <c r="K55" s="8">
        <v>55.7604795619364</v>
      </c>
      <c r="L55" s="9">
        <v>0.570756613870426</v>
      </c>
    </row>
    <row r="56" spans="1:12">
      <c r="A56" s="1">
        <v>50</v>
      </c>
      <c r="B56" s="1">
        <v>9</v>
      </c>
      <c r="C56" s="1">
        <v>0.03</v>
      </c>
      <c r="D56" s="1">
        <v>1</v>
      </c>
      <c r="E56" s="2">
        <v>0</v>
      </c>
      <c r="F56" s="1">
        <v>20</v>
      </c>
      <c r="G56" s="3">
        <v>0.920818198615511</v>
      </c>
      <c r="H56" s="4">
        <v>20.2</v>
      </c>
      <c r="I56" s="1">
        <v>10.9</v>
      </c>
      <c r="J56" s="7">
        <v>240.268556858312</v>
      </c>
      <c r="K56" s="8">
        <v>61.4530680950121</v>
      </c>
      <c r="L56" s="9">
        <v>0.555719537155636</v>
      </c>
    </row>
    <row r="57" spans="1:12">
      <c r="A57" s="1">
        <v>50</v>
      </c>
      <c r="B57" s="1">
        <v>9.8</v>
      </c>
      <c r="C57" s="1">
        <v>0.03</v>
      </c>
      <c r="D57" s="1">
        <v>1</v>
      </c>
      <c r="E57" s="2">
        <v>0</v>
      </c>
      <c r="F57" s="1">
        <v>20</v>
      </c>
      <c r="G57" s="3">
        <v>0.920818198615511</v>
      </c>
      <c r="H57" s="4">
        <v>20.2</v>
      </c>
      <c r="I57" s="1">
        <v>11.7</v>
      </c>
      <c r="J57" s="7">
        <v>260.059604562523</v>
      </c>
      <c r="K57" s="8">
        <v>67.9464140527719</v>
      </c>
      <c r="L57" s="9">
        <v>0.547820785402438</v>
      </c>
    </row>
    <row r="58" spans="1:12">
      <c r="A58" s="1">
        <v>65</v>
      </c>
      <c r="B58" s="1">
        <v>5</v>
      </c>
      <c r="C58" s="1">
        <v>0.126</v>
      </c>
      <c r="D58" s="1">
        <v>1</v>
      </c>
      <c r="E58" s="2">
        <v>0</v>
      </c>
      <c r="F58" s="1">
        <v>20</v>
      </c>
      <c r="G58" s="3">
        <v>0.831152647810126</v>
      </c>
      <c r="H58" s="4">
        <v>20.1</v>
      </c>
      <c r="I58" s="1">
        <v>4</v>
      </c>
      <c r="J58" s="7">
        <v>317.498865451363</v>
      </c>
      <c r="K58" s="8">
        <v>46.7022756132352</v>
      </c>
      <c r="L58" s="9">
        <v>0.841624899551753</v>
      </c>
    </row>
    <row r="59" spans="1:12">
      <c r="A59" s="1">
        <v>65</v>
      </c>
      <c r="B59" s="1">
        <v>5.8</v>
      </c>
      <c r="C59" s="1">
        <v>0.126</v>
      </c>
      <c r="D59" s="1">
        <v>1</v>
      </c>
      <c r="E59" s="2">
        <v>0</v>
      </c>
      <c r="F59" s="1">
        <v>20</v>
      </c>
      <c r="G59" s="3">
        <v>0.831152647810126</v>
      </c>
      <c r="H59" s="4">
        <v>20.1</v>
      </c>
      <c r="I59" s="1">
        <v>4.8</v>
      </c>
      <c r="J59" s="7">
        <v>374.408633355796</v>
      </c>
      <c r="K59" s="8">
        <v>55.1119600228966</v>
      </c>
      <c r="L59" s="9">
        <v>0.870660233721183</v>
      </c>
    </row>
    <row r="60" spans="1:12">
      <c r="A60" s="1">
        <v>65</v>
      </c>
      <c r="B60" s="1">
        <v>6.6</v>
      </c>
      <c r="C60" s="1">
        <v>0.126</v>
      </c>
      <c r="D60" s="1">
        <v>1</v>
      </c>
      <c r="E60" s="2">
        <v>0</v>
      </c>
      <c r="F60" s="1">
        <v>20</v>
      </c>
      <c r="G60" s="3">
        <v>0.831152647810126</v>
      </c>
      <c r="H60" s="4">
        <v>20.1</v>
      </c>
      <c r="I60" s="1">
        <v>5.7</v>
      </c>
      <c r="J60" s="7">
        <v>435.142369349703</v>
      </c>
      <c r="K60" s="8">
        <v>64.3216394677379</v>
      </c>
      <c r="L60" s="9">
        <v>0.908601107606523</v>
      </c>
    </row>
    <row r="61" spans="1:12">
      <c r="A61" s="1">
        <v>65</v>
      </c>
      <c r="B61" s="1">
        <v>7.4</v>
      </c>
      <c r="C61" s="1">
        <v>0.126</v>
      </c>
      <c r="D61" s="1">
        <v>1</v>
      </c>
      <c r="E61" s="2">
        <v>0</v>
      </c>
      <c r="F61" s="1">
        <v>20</v>
      </c>
      <c r="G61" s="3">
        <v>0.831152647810126</v>
      </c>
      <c r="H61" s="4">
        <v>20.1</v>
      </c>
      <c r="I61" s="1">
        <v>6.2</v>
      </c>
      <c r="J61" s="7">
        <v>480.55944660105</v>
      </c>
      <c r="K61" s="8">
        <v>70.8180967534233</v>
      </c>
      <c r="L61" s="9">
        <v>0.881473352679921</v>
      </c>
    </row>
    <row r="62" spans="1:12">
      <c r="A62" s="1">
        <v>65</v>
      </c>
      <c r="B62" s="1">
        <v>8.2</v>
      </c>
      <c r="C62" s="1">
        <v>0.126</v>
      </c>
      <c r="D62" s="1">
        <v>1</v>
      </c>
      <c r="E62" s="2">
        <v>0</v>
      </c>
      <c r="F62" s="1">
        <v>20</v>
      </c>
      <c r="G62" s="3">
        <v>0.831152647810126</v>
      </c>
      <c r="H62" s="4">
        <v>20.1</v>
      </c>
      <c r="I62" s="1">
        <v>6.9</v>
      </c>
      <c r="J62" s="7">
        <v>533.628613276489</v>
      </c>
      <c r="K62" s="8">
        <v>78.8118170836414</v>
      </c>
      <c r="L62" s="9">
        <v>0.885301770573152</v>
      </c>
    </row>
    <row r="63" spans="1:12">
      <c r="A63" s="1">
        <v>65</v>
      </c>
      <c r="B63" s="1">
        <v>9</v>
      </c>
      <c r="C63" s="1">
        <v>0.126</v>
      </c>
      <c r="D63" s="1">
        <v>1</v>
      </c>
      <c r="E63" s="2">
        <v>0</v>
      </c>
      <c r="F63" s="1">
        <v>20</v>
      </c>
      <c r="G63" s="3">
        <v>0.831152647810126</v>
      </c>
      <c r="H63" s="4">
        <v>20.2</v>
      </c>
      <c r="I63" s="1">
        <v>7.3</v>
      </c>
      <c r="J63" s="7">
        <v>575.209242541356</v>
      </c>
      <c r="K63" s="8">
        <v>84.6619169941341</v>
      </c>
      <c r="L63" s="9">
        <v>0.853381691604336</v>
      </c>
    </row>
    <row r="64" spans="1:12">
      <c r="A64" s="1">
        <v>65</v>
      </c>
      <c r="B64" s="1">
        <v>9.8</v>
      </c>
      <c r="C64" s="1">
        <v>0.126</v>
      </c>
      <c r="D64" s="1">
        <v>1</v>
      </c>
      <c r="E64" s="2">
        <v>0</v>
      </c>
      <c r="F64" s="1">
        <v>20</v>
      </c>
      <c r="G64" s="3">
        <v>0.831152647810126</v>
      </c>
      <c r="H64" s="4">
        <v>20.2</v>
      </c>
      <c r="I64" s="1">
        <v>7.7</v>
      </c>
      <c r="J64" s="7">
        <v>616.785707559675</v>
      </c>
      <c r="K64" s="8">
        <v>90.5345561230523</v>
      </c>
      <c r="L64" s="9">
        <v>0.826674413934381</v>
      </c>
    </row>
    <row r="65" spans="1:12">
      <c r="A65" s="1">
        <v>60</v>
      </c>
      <c r="B65" s="1">
        <v>5</v>
      </c>
      <c r="C65" s="1">
        <v>0.126</v>
      </c>
      <c r="D65" s="1">
        <v>1</v>
      </c>
      <c r="E65" s="2">
        <v>0</v>
      </c>
      <c r="F65" s="1">
        <v>20</v>
      </c>
      <c r="G65" s="3">
        <v>0.868253123396246</v>
      </c>
      <c r="H65" s="4">
        <v>20.1</v>
      </c>
      <c r="I65" s="1">
        <v>3.4</v>
      </c>
      <c r="J65" s="7">
        <v>260.680049590211</v>
      </c>
      <c r="K65" s="8">
        <v>42.1561301387369</v>
      </c>
      <c r="L65" s="9">
        <v>0.871156354752309</v>
      </c>
    </row>
    <row r="66" spans="1:12">
      <c r="A66" s="1">
        <v>60</v>
      </c>
      <c r="B66" s="1">
        <v>5.8</v>
      </c>
      <c r="C66" s="1">
        <v>0.126</v>
      </c>
      <c r="D66" s="1">
        <v>1</v>
      </c>
      <c r="E66" s="2">
        <v>0</v>
      </c>
      <c r="F66" s="1">
        <v>20</v>
      </c>
      <c r="G66" s="3">
        <v>0.868253123396246</v>
      </c>
      <c r="H66" s="4">
        <v>20.1</v>
      </c>
      <c r="I66" s="1">
        <v>4</v>
      </c>
      <c r="J66" s="7">
        <v>304.517257743304</v>
      </c>
      <c r="K66" s="8">
        <v>49.1333704056833</v>
      </c>
      <c r="L66" s="9">
        <v>0.883539816241845</v>
      </c>
    </row>
    <row r="67" spans="1:12">
      <c r="A67" s="1">
        <v>60</v>
      </c>
      <c r="B67" s="1">
        <v>6.6</v>
      </c>
      <c r="C67" s="1">
        <v>0.126</v>
      </c>
      <c r="D67" s="1">
        <v>1</v>
      </c>
      <c r="E67" s="2">
        <v>0</v>
      </c>
      <c r="F67" s="1">
        <v>20</v>
      </c>
      <c r="G67" s="3">
        <v>0.868253123396246</v>
      </c>
      <c r="H67" s="4">
        <v>20.1</v>
      </c>
      <c r="I67" s="1">
        <v>4.4</v>
      </c>
      <c r="J67" s="7">
        <v>340.693976041742</v>
      </c>
      <c r="K67" s="8">
        <v>54.6628425468303</v>
      </c>
      <c r="L67" s="9">
        <v>0.854102120467263</v>
      </c>
    </row>
    <row r="68" spans="1:12">
      <c r="A68" s="1">
        <v>60</v>
      </c>
      <c r="B68" s="1">
        <v>7.4</v>
      </c>
      <c r="C68" s="1">
        <v>0.126</v>
      </c>
      <c r="D68" s="1">
        <v>1</v>
      </c>
      <c r="E68" s="2">
        <v>0</v>
      </c>
      <c r="F68" s="1">
        <v>20</v>
      </c>
      <c r="G68" s="3">
        <v>0.868253123396246</v>
      </c>
      <c r="H68" s="4">
        <v>20.1</v>
      </c>
      <c r="I68" s="1">
        <v>5</v>
      </c>
      <c r="J68" s="7">
        <v>384.522702506919</v>
      </c>
      <c r="K68" s="8">
        <v>61.7041374147572</v>
      </c>
      <c r="L68" s="9">
        <v>0.865657856656159</v>
      </c>
    </row>
    <row r="69" spans="1:12">
      <c r="A69" s="1">
        <v>60</v>
      </c>
      <c r="B69" s="1">
        <v>8.2</v>
      </c>
      <c r="C69" s="1">
        <v>0.126</v>
      </c>
      <c r="D69" s="1">
        <v>1</v>
      </c>
      <c r="E69" s="2">
        <v>0</v>
      </c>
      <c r="F69" s="1">
        <v>20</v>
      </c>
      <c r="G69" s="3">
        <v>0.868253123396246</v>
      </c>
      <c r="H69" s="4">
        <v>20.1</v>
      </c>
      <c r="I69" s="1">
        <v>5.4</v>
      </c>
      <c r="J69" s="7">
        <v>420.690935158816</v>
      </c>
      <c r="K69" s="8">
        <v>67.2661919834195</v>
      </c>
      <c r="L69" s="9">
        <v>0.843713171342343</v>
      </c>
    </row>
    <row r="70" spans="1:12">
      <c r="A70" s="1">
        <v>60</v>
      </c>
      <c r="B70" s="1">
        <v>9</v>
      </c>
      <c r="C70" s="1">
        <v>0.126</v>
      </c>
      <c r="D70" s="1">
        <v>1</v>
      </c>
      <c r="E70" s="2">
        <v>0</v>
      </c>
      <c r="F70" s="1">
        <v>20</v>
      </c>
      <c r="G70" s="3">
        <v>0.868253123396246</v>
      </c>
      <c r="H70" s="4">
        <v>20.2</v>
      </c>
      <c r="I70" s="1">
        <v>5.7</v>
      </c>
      <c r="J70" s="7">
        <v>453.026797016004</v>
      </c>
      <c r="K70" s="8">
        <v>72.06330211111</v>
      </c>
      <c r="L70" s="9">
        <v>0.811435864029319</v>
      </c>
    </row>
    <row r="71" spans="1:12">
      <c r="A71" s="1">
        <v>60</v>
      </c>
      <c r="B71" s="1">
        <v>9.8</v>
      </c>
      <c r="C71" s="1">
        <v>0.126</v>
      </c>
      <c r="D71" s="1">
        <v>1</v>
      </c>
      <c r="E71" s="2">
        <v>0</v>
      </c>
      <c r="F71" s="1">
        <v>20</v>
      </c>
      <c r="G71" s="3">
        <v>0.868253123396246</v>
      </c>
      <c r="H71" s="4">
        <v>20.2</v>
      </c>
      <c r="I71" s="1">
        <v>6</v>
      </c>
      <c r="J71" s="7">
        <v>485.358411095644</v>
      </c>
      <c r="K71" s="8">
        <v>76.8619257868295</v>
      </c>
      <c r="L71" s="9">
        <v>0.784429573041905</v>
      </c>
    </row>
    <row r="72" spans="1:12">
      <c r="A72" s="1">
        <v>55</v>
      </c>
      <c r="B72" s="1">
        <v>5</v>
      </c>
      <c r="C72" s="1">
        <v>0.126</v>
      </c>
      <c r="D72" s="1">
        <v>1</v>
      </c>
      <c r="E72" s="2">
        <v>0</v>
      </c>
      <c r="F72" s="1">
        <v>20</v>
      </c>
      <c r="G72" s="3">
        <v>0.89760467536325</v>
      </c>
      <c r="H72" s="4">
        <v>20.1</v>
      </c>
      <c r="I72" s="1">
        <v>2.6</v>
      </c>
      <c r="J72" s="7">
        <v>201.641636522731</v>
      </c>
      <c r="K72" s="8">
        <v>36.0878818217501</v>
      </c>
      <c r="L72" s="9">
        <v>0.815036977939532</v>
      </c>
    </row>
    <row r="73" spans="1:12">
      <c r="A73" s="1">
        <v>55</v>
      </c>
      <c r="B73" s="1">
        <v>5.8</v>
      </c>
      <c r="C73" s="1">
        <v>0.126</v>
      </c>
      <c r="D73" s="1">
        <v>1</v>
      </c>
      <c r="E73" s="2">
        <v>0</v>
      </c>
      <c r="F73" s="1">
        <v>20</v>
      </c>
      <c r="G73" s="3">
        <v>0.89760467536325</v>
      </c>
      <c r="H73" s="4">
        <v>20.1</v>
      </c>
      <c r="I73" s="1">
        <v>3</v>
      </c>
      <c r="J73" s="7">
        <v>233.276188319407</v>
      </c>
      <c r="K73" s="8">
        <v>41.4982232501971</v>
      </c>
      <c r="L73" s="9">
        <v>0.810726217793586</v>
      </c>
    </row>
    <row r="74" spans="1:12">
      <c r="A74" s="1">
        <v>55</v>
      </c>
      <c r="B74" s="1">
        <v>6.6</v>
      </c>
      <c r="C74" s="1">
        <v>0.126</v>
      </c>
      <c r="D74" s="1">
        <v>1</v>
      </c>
      <c r="E74" s="2">
        <v>0</v>
      </c>
      <c r="F74" s="1">
        <v>20</v>
      </c>
      <c r="G74" s="3">
        <v>0.89760467536325</v>
      </c>
      <c r="H74" s="4">
        <v>20.1</v>
      </c>
      <c r="I74" s="1">
        <v>3.4</v>
      </c>
      <c r="J74" s="7">
        <v>264.906428120914</v>
      </c>
      <c r="K74" s="8">
        <v>46.9007293076981</v>
      </c>
      <c r="L74" s="9">
        <v>0.807463547057292</v>
      </c>
    </row>
    <row r="75" spans="1:12">
      <c r="A75" s="1">
        <v>55</v>
      </c>
      <c r="B75" s="1">
        <v>7.4</v>
      </c>
      <c r="C75" s="1">
        <v>0.126</v>
      </c>
      <c r="D75" s="1">
        <v>1</v>
      </c>
      <c r="E75" s="2">
        <v>0</v>
      </c>
      <c r="F75" s="1">
        <v>20</v>
      </c>
      <c r="G75" s="3">
        <v>0.89760467536325</v>
      </c>
      <c r="H75" s="4">
        <v>20.1</v>
      </c>
      <c r="I75" s="1">
        <v>3.8</v>
      </c>
      <c r="J75" s="7">
        <v>296.53235382369</v>
      </c>
      <c r="K75" s="8">
        <v>52.3072661859136</v>
      </c>
      <c r="L75" s="9">
        <v>0.804909044841033</v>
      </c>
    </row>
    <row r="76" spans="1:12">
      <c r="A76" s="1">
        <v>55</v>
      </c>
      <c r="B76" s="1">
        <v>8.2</v>
      </c>
      <c r="C76" s="1">
        <v>0.126</v>
      </c>
      <c r="D76" s="1">
        <v>1</v>
      </c>
      <c r="E76" s="2">
        <v>0</v>
      </c>
      <c r="F76" s="1">
        <v>20</v>
      </c>
      <c r="G76" s="3">
        <v>0.89760467536325</v>
      </c>
      <c r="H76" s="4">
        <v>20.1</v>
      </c>
      <c r="I76" s="1">
        <v>4</v>
      </c>
      <c r="J76" s="7">
        <v>320.497713322679</v>
      </c>
      <c r="K76" s="8">
        <v>56.0829462481737</v>
      </c>
      <c r="L76" s="9">
        <v>0.76462423077112</v>
      </c>
    </row>
    <row r="77" spans="1:12">
      <c r="A77" s="1">
        <v>55</v>
      </c>
      <c r="B77" s="1">
        <v>9</v>
      </c>
      <c r="C77" s="1">
        <v>0.126</v>
      </c>
      <c r="D77" s="1">
        <v>1</v>
      </c>
      <c r="E77" s="2">
        <v>0</v>
      </c>
      <c r="F77" s="1">
        <v>20</v>
      </c>
      <c r="G77" s="3">
        <v>0.89760467536325</v>
      </c>
      <c r="H77" s="4">
        <v>20.2</v>
      </c>
      <c r="I77" s="1">
        <v>4.2</v>
      </c>
      <c r="J77" s="7">
        <v>344.458754511332</v>
      </c>
      <c r="K77" s="8">
        <v>59.8406860793473</v>
      </c>
      <c r="L77" s="9">
        <v>0.731502282195313</v>
      </c>
    </row>
    <row r="78" spans="1:12">
      <c r="A78" s="1">
        <v>55</v>
      </c>
      <c r="B78" s="1">
        <v>9.8</v>
      </c>
      <c r="C78" s="1">
        <v>0.126</v>
      </c>
      <c r="D78" s="1">
        <v>1</v>
      </c>
      <c r="E78" s="2">
        <v>0</v>
      </c>
      <c r="F78" s="1">
        <v>20</v>
      </c>
      <c r="G78" s="3">
        <v>0.89760467536325</v>
      </c>
      <c r="H78" s="4">
        <v>20.2</v>
      </c>
      <c r="I78" s="1">
        <v>4.6</v>
      </c>
      <c r="J78" s="7">
        <v>376.071725281607</v>
      </c>
      <c r="K78" s="8">
        <v>65.2532207477353</v>
      </c>
      <c r="L78" s="9">
        <v>0.735779438334571</v>
      </c>
    </row>
    <row r="79" spans="1:12">
      <c r="A79" s="1">
        <v>50</v>
      </c>
      <c r="B79" s="1">
        <v>5</v>
      </c>
      <c r="C79" s="1">
        <v>0.126</v>
      </c>
      <c r="D79" s="1">
        <v>1</v>
      </c>
      <c r="E79" s="2">
        <v>0</v>
      </c>
      <c r="F79" s="1">
        <v>20</v>
      </c>
      <c r="G79" s="3">
        <v>0.920818198615511</v>
      </c>
      <c r="H79" s="4">
        <v>20.1</v>
      </c>
      <c r="I79" s="1">
        <v>1.9</v>
      </c>
      <c r="J79" s="7">
        <v>151.091353172489</v>
      </c>
      <c r="K79" s="8">
        <v>30.4252370234305</v>
      </c>
      <c r="L79" s="9">
        <v>0.73226680199181</v>
      </c>
    </row>
    <row r="80" spans="1:12">
      <c r="A80" s="1">
        <v>50</v>
      </c>
      <c r="B80" s="1">
        <v>5.8</v>
      </c>
      <c r="C80" s="1">
        <v>0.126</v>
      </c>
      <c r="D80" s="1">
        <v>1</v>
      </c>
      <c r="E80" s="2">
        <v>0</v>
      </c>
      <c r="F80" s="1">
        <v>20</v>
      </c>
      <c r="G80" s="3">
        <v>0.920818198615511</v>
      </c>
      <c r="H80" s="4">
        <v>20.1</v>
      </c>
      <c r="I80" s="1">
        <v>2.2</v>
      </c>
      <c r="J80" s="7">
        <v>175.097006890484</v>
      </c>
      <c r="K80" s="8">
        <v>34.9834267140121</v>
      </c>
      <c r="L80" s="9">
        <v>0.730949679455221</v>
      </c>
    </row>
    <row r="81" spans="1:12">
      <c r="A81" s="1">
        <v>50</v>
      </c>
      <c r="B81" s="1">
        <v>6.6</v>
      </c>
      <c r="C81" s="1">
        <v>0.126</v>
      </c>
      <c r="D81" s="1">
        <v>1</v>
      </c>
      <c r="E81" s="2">
        <v>0</v>
      </c>
      <c r="F81" s="1">
        <v>20</v>
      </c>
      <c r="G81" s="3">
        <v>0.920818198615511</v>
      </c>
      <c r="H81" s="4">
        <v>20.1</v>
      </c>
      <c r="I81" s="1">
        <v>2.6</v>
      </c>
      <c r="J81" s="7">
        <v>202.926410495509</v>
      </c>
      <c r="K81" s="8">
        <v>40.3978768036889</v>
      </c>
      <c r="L81" s="9">
        <v>0.75915288873917</v>
      </c>
    </row>
    <row r="82" spans="1:12">
      <c r="A82" s="1">
        <v>50</v>
      </c>
      <c r="B82" s="1">
        <v>7.4</v>
      </c>
      <c r="C82" s="1">
        <v>0.126</v>
      </c>
      <c r="D82" s="1">
        <v>1</v>
      </c>
      <c r="E82" s="2">
        <v>0</v>
      </c>
      <c r="F82" s="1">
        <v>20</v>
      </c>
      <c r="G82" s="3">
        <v>0.920818198615511</v>
      </c>
      <c r="H82" s="4">
        <v>20.1</v>
      </c>
      <c r="I82" s="1">
        <v>2.7</v>
      </c>
      <c r="J82" s="7">
        <v>219.267061777567</v>
      </c>
      <c r="K82" s="8">
        <v>43.152173620505</v>
      </c>
      <c r="L82" s="9">
        <v>0.703135337165991</v>
      </c>
    </row>
    <row r="83" spans="1:12">
      <c r="A83" s="1">
        <v>50</v>
      </c>
      <c r="B83" s="1">
        <v>8.2</v>
      </c>
      <c r="C83" s="1">
        <v>0.126</v>
      </c>
      <c r="D83" s="1">
        <v>1</v>
      </c>
      <c r="E83" s="2">
        <v>0</v>
      </c>
      <c r="F83" s="1">
        <v>20</v>
      </c>
      <c r="G83" s="3">
        <v>0.920818198615511</v>
      </c>
      <c r="H83" s="4">
        <v>20.1</v>
      </c>
      <c r="I83" s="1">
        <v>3.1</v>
      </c>
      <c r="J83" s="7">
        <v>247.087708525098</v>
      </c>
      <c r="K83" s="8">
        <v>48.5518034647256</v>
      </c>
      <c r="L83" s="9">
        <v>0.728554030646367</v>
      </c>
    </row>
    <row r="84" spans="1:12">
      <c r="A84" s="1">
        <v>50</v>
      </c>
      <c r="B84" s="1">
        <v>9</v>
      </c>
      <c r="C84" s="1">
        <v>0.126</v>
      </c>
      <c r="D84" s="1">
        <v>1</v>
      </c>
      <c r="E84" s="2">
        <v>0</v>
      </c>
      <c r="F84" s="1">
        <v>20</v>
      </c>
      <c r="G84" s="3">
        <v>0.920818198615511</v>
      </c>
      <c r="H84" s="4">
        <v>20.2</v>
      </c>
      <c r="I84" s="1">
        <v>3.4</v>
      </c>
      <c r="J84" s="7">
        <v>271.075848524979</v>
      </c>
      <c r="K84" s="8">
        <v>53.0676446658373</v>
      </c>
      <c r="L84" s="9">
        <v>0.728043577117658</v>
      </c>
    </row>
    <row r="85" spans="1:12">
      <c r="A85" s="1">
        <v>50</v>
      </c>
      <c r="B85" s="1">
        <v>9.8</v>
      </c>
      <c r="C85" s="1">
        <v>0.126</v>
      </c>
      <c r="D85" s="1">
        <v>1</v>
      </c>
      <c r="E85" s="2">
        <v>0</v>
      </c>
      <c r="F85" s="1">
        <v>20</v>
      </c>
      <c r="G85" s="3">
        <v>0.920818198615511</v>
      </c>
      <c r="H85" s="4">
        <v>20.2</v>
      </c>
      <c r="I85" s="1">
        <v>3.8</v>
      </c>
      <c r="J85" s="7">
        <v>298.887729562523</v>
      </c>
      <c r="K85" s="8">
        <v>58.5188759032144</v>
      </c>
      <c r="L85" s="9">
        <v>0.747283738036147</v>
      </c>
    </row>
    <row r="86" spans="1:12">
      <c r="A86" s="1">
        <v>65</v>
      </c>
      <c r="B86" s="1">
        <v>5</v>
      </c>
      <c r="C86" s="1">
        <v>0.174</v>
      </c>
      <c r="D86" s="1">
        <v>1</v>
      </c>
      <c r="E86" s="2">
        <v>0</v>
      </c>
      <c r="F86" s="1">
        <v>20</v>
      </c>
      <c r="G86" s="3">
        <v>0.831152647810126</v>
      </c>
      <c r="H86" s="4">
        <v>20.1</v>
      </c>
      <c r="I86" s="1">
        <v>3</v>
      </c>
      <c r="J86" s="7">
        <v>322.967615451363</v>
      </c>
      <c r="K86" s="8">
        <v>46.5586315231533</v>
      </c>
      <c r="L86" s="9">
        <v>0.871682931678601</v>
      </c>
    </row>
    <row r="87" spans="1:12">
      <c r="A87" s="1">
        <v>65</v>
      </c>
      <c r="B87" s="1">
        <v>5.8</v>
      </c>
      <c r="C87" s="1">
        <v>0.174</v>
      </c>
      <c r="D87" s="1">
        <v>1</v>
      </c>
      <c r="E87" s="2">
        <v>0</v>
      </c>
      <c r="F87" s="1">
        <v>20</v>
      </c>
      <c r="G87" s="3">
        <v>0.831152647810126</v>
      </c>
      <c r="H87" s="4">
        <v>20.1</v>
      </c>
      <c r="I87" s="1">
        <v>3.8</v>
      </c>
      <c r="J87" s="7">
        <v>391.544050022463</v>
      </c>
      <c r="K87" s="8">
        <v>56.4657516104934</v>
      </c>
      <c r="L87" s="9">
        <v>0.951852755516611</v>
      </c>
    </row>
    <row r="88" spans="1:12">
      <c r="A88" s="1">
        <v>65</v>
      </c>
      <c r="B88" s="1">
        <v>6.6</v>
      </c>
      <c r="C88" s="1">
        <v>0.174</v>
      </c>
      <c r="D88" s="1">
        <v>1</v>
      </c>
      <c r="E88" s="2">
        <v>0</v>
      </c>
      <c r="F88" s="1">
        <v>20</v>
      </c>
      <c r="G88" s="3">
        <v>0.831152647810126</v>
      </c>
      <c r="H88" s="4">
        <v>20.1</v>
      </c>
      <c r="I88" s="1">
        <v>4.1</v>
      </c>
      <c r="J88" s="7">
        <v>433.68403601637</v>
      </c>
      <c r="K88" s="8">
        <v>62.0152602187902</v>
      </c>
      <c r="L88" s="9">
        <v>0.902528585584091</v>
      </c>
    </row>
    <row r="89" spans="1:12">
      <c r="A89" s="1">
        <v>65</v>
      </c>
      <c r="B89" s="1">
        <v>7.4</v>
      </c>
      <c r="C89" s="1">
        <v>0.174</v>
      </c>
      <c r="D89" s="1">
        <v>1</v>
      </c>
      <c r="E89" s="2">
        <v>0</v>
      </c>
      <c r="F89" s="1">
        <v>20</v>
      </c>
      <c r="G89" s="3">
        <v>0.831152647810126</v>
      </c>
      <c r="H89" s="4">
        <v>20.1</v>
      </c>
      <c r="I89" s="1">
        <v>4.5</v>
      </c>
      <c r="J89" s="7">
        <v>481.10632160105</v>
      </c>
      <c r="K89" s="8">
        <v>68.4241495161315</v>
      </c>
      <c r="L89" s="9">
        <v>0.88350439727135</v>
      </c>
    </row>
    <row r="90" spans="1:12">
      <c r="A90" s="1">
        <v>65</v>
      </c>
      <c r="B90" s="1">
        <v>8.2</v>
      </c>
      <c r="C90" s="1">
        <v>0.174</v>
      </c>
      <c r="D90" s="1">
        <v>1</v>
      </c>
      <c r="E90" s="2">
        <v>0</v>
      </c>
      <c r="F90" s="1">
        <v>20</v>
      </c>
      <c r="G90" s="3">
        <v>0.831152647810126</v>
      </c>
      <c r="H90" s="4">
        <v>20.1</v>
      </c>
      <c r="I90" s="1">
        <v>4.9</v>
      </c>
      <c r="J90" s="7">
        <v>528.524446609822</v>
      </c>
      <c r="K90" s="8">
        <v>74.8278614541548</v>
      </c>
      <c r="L90" s="9">
        <v>0.868194489982366</v>
      </c>
    </row>
    <row r="91" spans="1:12">
      <c r="A91" s="1">
        <v>65</v>
      </c>
      <c r="B91" s="1">
        <v>9</v>
      </c>
      <c r="C91" s="1">
        <v>0.174</v>
      </c>
      <c r="D91" s="1">
        <v>1</v>
      </c>
      <c r="E91" s="2">
        <v>0</v>
      </c>
      <c r="F91" s="1">
        <v>20</v>
      </c>
      <c r="G91" s="3">
        <v>0.831152647810126</v>
      </c>
      <c r="H91" s="4">
        <v>20.2</v>
      </c>
      <c r="I91" s="1">
        <v>5.2</v>
      </c>
      <c r="J91" s="7">
        <v>570.651950874689</v>
      </c>
      <c r="K91" s="8">
        <v>80.3228514673323</v>
      </c>
      <c r="L91" s="9">
        <v>0.839464834272237</v>
      </c>
    </row>
    <row r="92" spans="1:12">
      <c r="A92" s="1">
        <v>65</v>
      </c>
      <c r="B92" s="1">
        <v>9.8</v>
      </c>
      <c r="C92" s="1">
        <v>0.174</v>
      </c>
      <c r="D92" s="1">
        <v>1</v>
      </c>
      <c r="E92" s="2">
        <v>0</v>
      </c>
      <c r="F92" s="1">
        <v>20</v>
      </c>
      <c r="G92" s="3">
        <v>0.831152647810126</v>
      </c>
      <c r="H92" s="4">
        <v>20.2</v>
      </c>
      <c r="I92" s="1">
        <v>5.5</v>
      </c>
      <c r="J92" s="7">
        <v>612.775290893008</v>
      </c>
      <c r="K92" s="8">
        <v>85.8085117735517</v>
      </c>
      <c r="L92" s="9">
        <v>0.815427142996498</v>
      </c>
    </row>
    <row r="93" spans="1:12">
      <c r="A93" s="1">
        <v>60</v>
      </c>
      <c r="B93" s="1">
        <v>5</v>
      </c>
      <c r="C93" s="1">
        <v>0.174</v>
      </c>
      <c r="D93" s="1">
        <v>1</v>
      </c>
      <c r="E93" s="2">
        <v>0</v>
      </c>
      <c r="F93" s="1">
        <v>20</v>
      </c>
      <c r="G93" s="3">
        <v>0.868253123396246</v>
      </c>
      <c r="H93" s="4">
        <v>20.1</v>
      </c>
      <c r="I93" s="1">
        <v>2.4</v>
      </c>
      <c r="J93" s="7">
        <v>257.398799590211</v>
      </c>
      <c r="K93" s="8">
        <v>40.7005100685788</v>
      </c>
      <c r="L93" s="9">
        <v>0.849194429842587</v>
      </c>
    </row>
    <row r="94" spans="1:12">
      <c r="A94" s="1">
        <v>60</v>
      </c>
      <c r="B94" s="1">
        <v>5.8</v>
      </c>
      <c r="C94" s="1">
        <v>0.174</v>
      </c>
      <c r="D94" s="1">
        <v>1</v>
      </c>
      <c r="E94" s="2">
        <v>0</v>
      </c>
      <c r="F94" s="1">
        <v>20</v>
      </c>
      <c r="G94" s="3">
        <v>0.868253123396246</v>
      </c>
      <c r="H94" s="4">
        <v>20.1</v>
      </c>
      <c r="I94" s="1">
        <v>2.8</v>
      </c>
      <c r="J94" s="7">
        <v>299.413091076637</v>
      </c>
      <c r="K94" s="8">
        <v>47.0115176359167</v>
      </c>
      <c r="L94" s="9">
        <v>0.854088489033783</v>
      </c>
    </row>
    <row r="95" spans="1:12">
      <c r="A95" s="1">
        <v>60</v>
      </c>
      <c r="B95" s="1">
        <v>6.6</v>
      </c>
      <c r="C95" s="1">
        <v>0.174</v>
      </c>
      <c r="D95" s="1">
        <v>1</v>
      </c>
      <c r="E95" s="2">
        <v>0</v>
      </c>
      <c r="F95" s="1">
        <v>20</v>
      </c>
      <c r="G95" s="3">
        <v>0.868253123396246</v>
      </c>
      <c r="H95" s="4">
        <v>20.1</v>
      </c>
      <c r="I95" s="1">
        <v>3.4</v>
      </c>
      <c r="J95" s="7">
        <v>351.996059375075</v>
      </c>
      <c r="K95" s="8">
        <v>55.1953729101602</v>
      </c>
      <c r="L95" s="9">
        <v>0.911412003009439</v>
      </c>
    </row>
    <row r="96" spans="1:12">
      <c r="A96" s="1">
        <v>60</v>
      </c>
      <c r="B96" s="1">
        <v>7.4</v>
      </c>
      <c r="C96" s="1">
        <v>0.174</v>
      </c>
      <c r="D96" s="1">
        <v>1</v>
      </c>
      <c r="E96" s="2">
        <v>0</v>
      </c>
      <c r="F96" s="1">
        <v>20</v>
      </c>
      <c r="G96" s="3">
        <v>0.868253123396246</v>
      </c>
      <c r="H96" s="4">
        <v>20.1</v>
      </c>
      <c r="I96" s="1">
        <v>3.6</v>
      </c>
      <c r="J96" s="7">
        <v>383.428952506919</v>
      </c>
      <c r="K96" s="8">
        <v>59.5682788844793</v>
      </c>
      <c r="L96" s="9">
        <v>0.86071124033241</v>
      </c>
    </row>
    <row r="97" spans="1:12">
      <c r="A97" s="1">
        <v>60</v>
      </c>
      <c r="B97" s="1">
        <v>8.2</v>
      </c>
      <c r="C97" s="1">
        <v>0.174</v>
      </c>
      <c r="D97" s="1">
        <v>1</v>
      </c>
      <c r="E97" s="2">
        <v>0</v>
      </c>
      <c r="F97" s="1">
        <v>20</v>
      </c>
      <c r="G97" s="3">
        <v>0.868253123396246</v>
      </c>
      <c r="H97" s="4">
        <v>20.1</v>
      </c>
      <c r="I97" s="1">
        <v>3.9</v>
      </c>
      <c r="J97" s="7">
        <v>420.144060158816</v>
      </c>
      <c r="K97" s="8">
        <v>64.8723660614287</v>
      </c>
      <c r="L97" s="9">
        <v>0.841481125915512</v>
      </c>
    </row>
    <row r="98" spans="1:12">
      <c r="A98" s="1">
        <v>60</v>
      </c>
      <c r="B98" s="1">
        <v>9</v>
      </c>
      <c r="C98" s="1">
        <v>0.174</v>
      </c>
      <c r="D98" s="1">
        <v>1</v>
      </c>
      <c r="E98" s="2">
        <v>0</v>
      </c>
      <c r="F98" s="1">
        <v>20</v>
      </c>
      <c r="G98" s="3">
        <v>0.868253123396246</v>
      </c>
      <c r="H98" s="4">
        <v>20.2</v>
      </c>
      <c r="I98" s="1">
        <v>4.1</v>
      </c>
      <c r="J98" s="7">
        <v>451.568463682671</v>
      </c>
      <c r="K98" s="8">
        <v>69.1923803181591</v>
      </c>
      <c r="L98" s="9">
        <v>0.806012733776826</v>
      </c>
    </row>
    <row r="99" spans="1:12">
      <c r="A99" s="1">
        <v>60</v>
      </c>
      <c r="B99" s="1">
        <v>9.8</v>
      </c>
      <c r="C99" s="1">
        <v>0.174</v>
      </c>
      <c r="D99" s="1">
        <v>1</v>
      </c>
      <c r="E99" s="2">
        <v>0</v>
      </c>
      <c r="F99" s="1">
        <v>20</v>
      </c>
      <c r="G99" s="3">
        <v>0.868253123396246</v>
      </c>
      <c r="H99" s="4">
        <v>20.2</v>
      </c>
      <c r="I99" s="1">
        <v>4.3</v>
      </c>
      <c r="J99" s="7">
        <v>482.988619428978</v>
      </c>
      <c r="K99" s="8">
        <v>73.4910829092302</v>
      </c>
      <c r="L99" s="9">
        <v>0.776336252050203</v>
      </c>
    </row>
    <row r="100" spans="1:12">
      <c r="A100" s="1">
        <v>55</v>
      </c>
      <c r="B100" s="1">
        <v>5</v>
      </c>
      <c r="C100" s="1">
        <v>0.174</v>
      </c>
      <c r="D100" s="1">
        <v>1</v>
      </c>
      <c r="E100" s="2">
        <v>0</v>
      </c>
      <c r="F100" s="1">
        <v>20</v>
      </c>
      <c r="G100" s="3">
        <v>0.89760467536325</v>
      </c>
      <c r="H100" s="4">
        <v>20.1</v>
      </c>
      <c r="I100" s="1">
        <v>1.9</v>
      </c>
      <c r="J100" s="7">
        <v>202.553094856064</v>
      </c>
      <c r="K100" s="8">
        <v>35.6132434440563</v>
      </c>
      <c r="L100" s="9">
        <v>0.822500686528721</v>
      </c>
    </row>
    <row r="101" spans="1:12">
      <c r="A101" s="1">
        <v>55</v>
      </c>
      <c r="B101" s="1">
        <v>5.8</v>
      </c>
      <c r="C101" s="1">
        <v>0.174</v>
      </c>
      <c r="D101" s="1">
        <v>1</v>
      </c>
      <c r="E101" s="2">
        <v>0</v>
      </c>
      <c r="F101" s="1">
        <v>20</v>
      </c>
      <c r="G101" s="3">
        <v>0.89760467536325</v>
      </c>
      <c r="H101" s="4">
        <v>20.1</v>
      </c>
      <c r="I101" s="1">
        <v>2.2</v>
      </c>
      <c r="J101" s="7">
        <v>234.73452165274</v>
      </c>
      <c r="K101" s="8">
        <v>40.913052579592</v>
      </c>
      <c r="L101" s="9">
        <v>0.821021153892552</v>
      </c>
    </row>
    <row r="102" spans="1:12">
      <c r="A102" s="1">
        <v>55</v>
      </c>
      <c r="B102" s="1">
        <v>6.6</v>
      </c>
      <c r="C102" s="1">
        <v>0.174</v>
      </c>
      <c r="D102" s="1">
        <v>1</v>
      </c>
      <c r="E102" s="2">
        <v>0</v>
      </c>
      <c r="F102" s="1">
        <v>20</v>
      </c>
      <c r="G102" s="3">
        <v>0.89760467536325</v>
      </c>
      <c r="H102" s="4">
        <v>20.1</v>
      </c>
      <c r="I102" s="1">
        <v>2.5</v>
      </c>
      <c r="J102" s="7">
        <v>266.947168543338</v>
      </c>
      <c r="K102" s="8">
        <v>47.6535727090301</v>
      </c>
      <c r="L102" s="9">
        <v>0.819877079873127</v>
      </c>
    </row>
    <row r="103" spans="1:12">
      <c r="A103" s="1">
        <v>55</v>
      </c>
      <c r="B103" s="1">
        <v>7.4</v>
      </c>
      <c r="C103" s="1">
        <v>0.174</v>
      </c>
      <c r="D103" s="1">
        <v>1</v>
      </c>
      <c r="E103" s="2">
        <v>0</v>
      </c>
      <c r="F103" s="1">
        <v>20</v>
      </c>
      <c r="G103" s="3">
        <v>0.89760467536325</v>
      </c>
      <c r="H103" s="4">
        <v>20.1</v>
      </c>
      <c r="I103" s="1">
        <v>2.6</v>
      </c>
      <c r="J103" s="7">
        <v>288.511520490356</v>
      </c>
      <c r="K103" s="8">
        <v>49.3373408256017</v>
      </c>
      <c r="L103" s="9">
        <v>0.760528095000174</v>
      </c>
    </row>
    <row r="104" spans="1:12">
      <c r="A104" s="1">
        <v>55</v>
      </c>
      <c r="B104" s="1">
        <v>8.2</v>
      </c>
      <c r="C104" s="1">
        <v>0.174</v>
      </c>
      <c r="D104" s="1">
        <v>1</v>
      </c>
      <c r="E104" s="2">
        <v>0</v>
      </c>
      <c r="F104" s="1">
        <v>20</v>
      </c>
      <c r="G104" s="3">
        <v>0.89760467536325</v>
      </c>
      <c r="H104" s="4">
        <v>20.1</v>
      </c>
      <c r="I104" s="1">
        <v>2.7</v>
      </c>
      <c r="J104" s="7">
        <v>310.107088322679</v>
      </c>
      <c r="K104" s="8">
        <v>52.4673045303269</v>
      </c>
      <c r="L104" s="9">
        <v>0.712739015111651</v>
      </c>
    </row>
    <row r="105" spans="1:12">
      <c r="A105" s="1">
        <v>55</v>
      </c>
      <c r="B105" s="1">
        <v>9</v>
      </c>
      <c r="C105" s="1">
        <v>0.174</v>
      </c>
      <c r="D105" s="1">
        <v>1</v>
      </c>
      <c r="E105" s="2">
        <v>0</v>
      </c>
      <c r="F105" s="1">
        <v>20</v>
      </c>
      <c r="G105" s="3">
        <v>0.89760467536325</v>
      </c>
      <c r="H105" s="4">
        <v>20.2</v>
      </c>
      <c r="I105" s="1">
        <v>2.9</v>
      </c>
      <c r="J105" s="7">
        <v>336.984796177999</v>
      </c>
      <c r="K105" s="8">
        <v>56.5963171742777</v>
      </c>
      <c r="L105" s="9">
        <v>0.6974982078529</v>
      </c>
    </row>
    <row r="106" spans="1:12">
      <c r="A106" s="1">
        <v>55</v>
      </c>
      <c r="B106" s="1">
        <v>9.8</v>
      </c>
      <c r="C106" s="1">
        <v>0.174</v>
      </c>
      <c r="D106" s="1">
        <v>1</v>
      </c>
      <c r="E106" s="2">
        <v>0</v>
      </c>
      <c r="F106" s="1">
        <v>20</v>
      </c>
      <c r="G106" s="3">
        <v>0.89760467536325</v>
      </c>
      <c r="H106" s="4">
        <v>20.2</v>
      </c>
      <c r="I106" s="1">
        <v>3.1</v>
      </c>
      <c r="J106" s="7">
        <v>363.85818361494</v>
      </c>
      <c r="K106" s="8">
        <v>60.7024982993864</v>
      </c>
      <c r="L106" s="9">
        <v>0.684747117042214</v>
      </c>
    </row>
    <row r="107" spans="1:12">
      <c r="A107" s="1">
        <v>50</v>
      </c>
      <c r="B107" s="1">
        <v>5</v>
      </c>
      <c r="C107" s="1">
        <v>0.174</v>
      </c>
      <c r="D107" s="1">
        <v>1</v>
      </c>
      <c r="E107" s="2">
        <v>0</v>
      </c>
      <c r="F107" s="1">
        <v>20</v>
      </c>
      <c r="G107" s="3">
        <v>0.920818198615511</v>
      </c>
      <c r="H107" s="4">
        <v>20.1</v>
      </c>
      <c r="I107" s="1">
        <v>1.3</v>
      </c>
      <c r="J107" s="7">
        <v>147.080936505822</v>
      </c>
      <c r="K107" s="8">
        <v>29.1049630920269</v>
      </c>
      <c r="L107" s="9">
        <v>0.691891188849405</v>
      </c>
    </row>
    <row r="108" spans="1:12">
      <c r="A108" s="1">
        <v>50</v>
      </c>
      <c r="B108" s="1">
        <v>5.8</v>
      </c>
      <c r="C108" s="1">
        <v>0.174</v>
      </c>
      <c r="D108" s="1">
        <v>1</v>
      </c>
      <c r="E108" s="2">
        <v>0</v>
      </c>
      <c r="F108" s="1">
        <v>20</v>
      </c>
      <c r="G108" s="3">
        <v>0.920818198615511</v>
      </c>
      <c r="H108" s="4">
        <v>20.1</v>
      </c>
      <c r="I108" s="1">
        <v>1.6</v>
      </c>
      <c r="J108" s="7">
        <v>175.461590223818</v>
      </c>
      <c r="K108" s="8">
        <v>34.4452006803875</v>
      </c>
      <c r="L108" s="9">
        <v>0.734113963781868</v>
      </c>
    </row>
    <row r="109" spans="1:12">
      <c r="A109" s="1">
        <v>50</v>
      </c>
      <c r="B109" s="1">
        <v>6.6</v>
      </c>
      <c r="C109" s="1">
        <v>0.174</v>
      </c>
      <c r="D109" s="1">
        <v>1</v>
      </c>
      <c r="E109" s="2">
        <v>0</v>
      </c>
      <c r="F109" s="1">
        <v>20</v>
      </c>
      <c r="G109" s="3">
        <v>0.920818198615511</v>
      </c>
      <c r="H109" s="4">
        <v>20.1</v>
      </c>
      <c r="I109" s="1">
        <v>1.8</v>
      </c>
      <c r="J109" s="7">
        <v>198.551410495509</v>
      </c>
      <c r="K109" s="8">
        <v>38.6042879114733</v>
      </c>
      <c r="L109" s="9">
        <v>0.725783530992393</v>
      </c>
    </row>
    <row r="110" spans="1:12">
      <c r="A110" s="1">
        <v>50</v>
      </c>
      <c r="B110" s="1">
        <v>7.4</v>
      </c>
      <c r="C110" s="1">
        <v>0.174</v>
      </c>
      <c r="D110" s="1">
        <v>1</v>
      </c>
      <c r="E110" s="2">
        <v>0</v>
      </c>
      <c r="F110" s="1">
        <v>20</v>
      </c>
      <c r="G110" s="3">
        <v>0.920818198615511</v>
      </c>
      <c r="H110" s="4">
        <v>20.1</v>
      </c>
      <c r="I110" s="1">
        <v>2.1</v>
      </c>
      <c r="J110" s="7">
        <v>226.923311777567</v>
      </c>
      <c r="K110" s="8">
        <v>43.871683797865</v>
      </c>
      <c r="L110" s="9">
        <v>0.755219436215324</v>
      </c>
    </row>
    <row r="111" spans="1:12">
      <c r="A111" s="1">
        <v>50</v>
      </c>
      <c r="B111" s="1">
        <v>8.2</v>
      </c>
      <c r="C111" s="1">
        <v>0.174</v>
      </c>
      <c r="D111" s="1">
        <v>1</v>
      </c>
      <c r="E111" s="2">
        <v>0</v>
      </c>
      <c r="F111" s="1">
        <v>20</v>
      </c>
      <c r="G111" s="3">
        <v>0.920818198615511</v>
      </c>
      <c r="H111" s="4">
        <v>20.1</v>
      </c>
      <c r="I111" s="1">
        <v>2.3</v>
      </c>
      <c r="J111" s="7">
        <v>250.004375191764</v>
      </c>
      <c r="K111" s="8">
        <v>47.9647841587826</v>
      </c>
      <c r="L111" s="9">
        <v>0.746460120493283</v>
      </c>
    </row>
    <row r="112" spans="1:12">
      <c r="A112" s="1">
        <v>50</v>
      </c>
      <c r="B112" s="1">
        <v>9</v>
      </c>
      <c r="C112" s="1">
        <v>0.174</v>
      </c>
      <c r="D112" s="1">
        <v>1</v>
      </c>
      <c r="E112" s="2">
        <v>0</v>
      </c>
      <c r="F112" s="1">
        <v>20</v>
      </c>
      <c r="G112" s="3">
        <v>0.920818198615511</v>
      </c>
      <c r="H112" s="4">
        <v>20.2</v>
      </c>
      <c r="I112" s="1">
        <v>2.5</v>
      </c>
      <c r="J112" s="7">
        <v>273.081056858312</v>
      </c>
      <c r="K112" s="8">
        <v>52.0332339027666</v>
      </c>
      <c r="L112" s="9">
        <v>0.739259934748323</v>
      </c>
    </row>
    <row r="113" spans="1:12">
      <c r="A113" s="1">
        <v>50</v>
      </c>
      <c r="B113" s="1">
        <v>9.8</v>
      </c>
      <c r="C113" s="1">
        <v>0.174</v>
      </c>
      <c r="D113" s="1">
        <v>1</v>
      </c>
      <c r="E113" s="2">
        <v>0</v>
      </c>
      <c r="F113" s="1">
        <v>20</v>
      </c>
      <c r="G113" s="3">
        <v>0.920818198615511</v>
      </c>
      <c r="H113" s="4">
        <v>20.2</v>
      </c>
      <c r="I113" s="1">
        <v>2.7</v>
      </c>
      <c r="J113" s="7">
        <v>296.153354562523</v>
      </c>
      <c r="K113" s="8">
        <v>56.0821937365585</v>
      </c>
      <c r="L113" s="9">
        <v>0.733237051230956</v>
      </c>
    </row>
    <row r="114" spans="1:12">
      <c r="A114" s="1">
        <v>50</v>
      </c>
      <c r="B114" s="1">
        <v>5.8</v>
      </c>
      <c r="C114" s="1">
        <v>0.03</v>
      </c>
      <c r="D114" s="1">
        <v>1</v>
      </c>
      <c r="E114" s="2">
        <v>0</v>
      </c>
      <c r="F114" s="1">
        <v>20</v>
      </c>
      <c r="G114" s="3">
        <v>0.920818198615511</v>
      </c>
      <c r="H114" s="4">
        <v>20.2</v>
      </c>
      <c r="I114" s="1">
        <v>8.2</v>
      </c>
      <c r="J114" s="7">
        <v>165.475059833049</v>
      </c>
      <c r="K114" s="8">
        <v>35.9398644217369</v>
      </c>
      <c r="L114" s="9">
        <v>0.64877297560088</v>
      </c>
    </row>
    <row r="115" spans="1:12">
      <c r="A115" s="1">
        <v>50</v>
      </c>
      <c r="B115" s="1">
        <v>6.2</v>
      </c>
      <c r="C115" s="1">
        <v>0.078</v>
      </c>
      <c r="D115" s="1">
        <v>1</v>
      </c>
      <c r="E115" s="2">
        <v>0</v>
      </c>
      <c r="F115" s="1">
        <v>20</v>
      </c>
      <c r="G115" s="3">
        <v>0.920818198615511</v>
      </c>
      <c r="H115" s="4">
        <v>20.2</v>
      </c>
      <c r="I115" s="1">
        <v>4</v>
      </c>
      <c r="J115" s="7">
        <v>191.784762235329</v>
      </c>
      <c r="K115" s="8">
        <v>36.1829045446859</v>
      </c>
      <c r="L115" s="9">
        <v>0.769747952168471</v>
      </c>
    </row>
    <row r="116" spans="1:12">
      <c r="A116" s="1">
        <v>50</v>
      </c>
      <c r="B116" s="1">
        <v>6.6</v>
      </c>
      <c r="C116" s="1">
        <v>0.126</v>
      </c>
      <c r="D116" s="1">
        <v>1</v>
      </c>
      <c r="E116" s="2">
        <v>0</v>
      </c>
      <c r="F116" s="1">
        <v>20</v>
      </c>
      <c r="G116" s="3">
        <v>0.920818198615511</v>
      </c>
      <c r="H116" s="4">
        <v>20.2</v>
      </c>
      <c r="I116" s="1">
        <v>2.6</v>
      </c>
      <c r="J116" s="7">
        <v>202.781964637608</v>
      </c>
      <c r="K116" s="8">
        <v>36.6795366955509</v>
      </c>
      <c r="L116" s="9">
        <v>0.759251389184356</v>
      </c>
    </row>
    <row r="117" spans="1:12">
      <c r="A117" s="1">
        <v>50</v>
      </c>
      <c r="B117" s="1">
        <v>7</v>
      </c>
      <c r="C117" s="1">
        <v>0.174</v>
      </c>
      <c r="D117" s="1">
        <v>1</v>
      </c>
      <c r="E117" s="2">
        <v>0</v>
      </c>
      <c r="F117" s="1">
        <v>20</v>
      </c>
      <c r="G117" s="3">
        <v>0.920818198615511</v>
      </c>
      <c r="H117" s="4">
        <v>20.2</v>
      </c>
      <c r="I117" s="1">
        <v>2</v>
      </c>
      <c r="J117" s="7">
        <v>215.237500373221</v>
      </c>
      <c r="K117" s="8">
        <v>38.2599554957084</v>
      </c>
      <c r="L117" s="9">
        <v>0.760443306592808</v>
      </c>
    </row>
    <row r="118" spans="1:12">
      <c r="A118" s="1">
        <v>55</v>
      </c>
      <c r="B118" s="1">
        <v>5.8</v>
      </c>
      <c r="C118" s="1">
        <v>0.078</v>
      </c>
      <c r="D118" s="1">
        <v>1</v>
      </c>
      <c r="E118" s="2">
        <v>0</v>
      </c>
      <c r="F118" s="1">
        <v>20</v>
      </c>
      <c r="G118" s="3">
        <v>0.89760467536325</v>
      </c>
      <c r="H118" s="4">
        <v>20.2</v>
      </c>
      <c r="I118" s="1">
        <v>4.9</v>
      </c>
      <c r="J118" s="7">
        <v>234.411510851361</v>
      </c>
      <c r="K118" s="8">
        <v>39.3087177898889</v>
      </c>
      <c r="L118" s="9">
        <v>0.819852982280194</v>
      </c>
    </row>
    <row r="119" spans="1:12">
      <c r="A119" s="1">
        <v>55</v>
      </c>
      <c r="B119" s="1">
        <v>6.2</v>
      </c>
      <c r="C119" s="1">
        <v>0.03</v>
      </c>
      <c r="D119" s="1">
        <v>1</v>
      </c>
      <c r="E119" s="2">
        <v>0</v>
      </c>
      <c r="F119" s="1">
        <v>20</v>
      </c>
      <c r="G119" s="3">
        <v>0.89760467536325</v>
      </c>
      <c r="H119" s="4">
        <v>20.2</v>
      </c>
      <c r="I119" s="1">
        <v>10.6</v>
      </c>
      <c r="J119" s="7">
        <v>223.064352116972</v>
      </c>
      <c r="K119" s="8">
        <v>44.2812331363522</v>
      </c>
      <c r="L119" s="9">
        <v>0.638129353200314</v>
      </c>
    </row>
    <row r="120" spans="1:12">
      <c r="A120" s="1">
        <v>55</v>
      </c>
      <c r="B120" s="1">
        <v>6.6</v>
      </c>
      <c r="C120" s="1">
        <v>0.174</v>
      </c>
      <c r="D120" s="1">
        <v>1</v>
      </c>
      <c r="E120" s="2">
        <v>0</v>
      </c>
      <c r="F120" s="1">
        <v>20</v>
      </c>
      <c r="G120" s="3">
        <v>0.89760467536325</v>
      </c>
      <c r="H120" s="4">
        <v>20.1</v>
      </c>
      <c r="I120" s="1">
        <v>2.5</v>
      </c>
      <c r="J120" s="7">
        <v>266.947168543338</v>
      </c>
      <c r="K120" s="8">
        <v>47.6535727090301</v>
      </c>
      <c r="L120" s="9">
        <v>0.819877079873127</v>
      </c>
    </row>
    <row r="121" spans="1:12">
      <c r="A121" s="1">
        <v>55</v>
      </c>
      <c r="B121" s="1">
        <v>7</v>
      </c>
      <c r="C121" s="1">
        <v>0.126</v>
      </c>
      <c r="D121" s="1">
        <v>1</v>
      </c>
      <c r="E121" s="2">
        <v>0</v>
      </c>
      <c r="F121" s="1">
        <v>20</v>
      </c>
      <c r="G121" s="3">
        <v>0.89760467536325</v>
      </c>
      <c r="H121" s="4">
        <v>20.2</v>
      </c>
      <c r="I121" s="1">
        <v>3.7</v>
      </c>
      <c r="J121" s="7">
        <v>284.406492981528</v>
      </c>
      <c r="K121" s="8">
        <v>46.2097086378683</v>
      </c>
      <c r="L121" s="9">
        <v>0.828604945042369</v>
      </c>
    </row>
    <row r="122" spans="1:12">
      <c r="A122" s="1">
        <v>60</v>
      </c>
      <c r="B122" s="1">
        <v>5.8</v>
      </c>
      <c r="C122" s="1">
        <v>0.126</v>
      </c>
      <c r="D122" s="1">
        <v>1</v>
      </c>
      <c r="E122" s="2">
        <v>0</v>
      </c>
      <c r="F122" s="1">
        <v>20</v>
      </c>
      <c r="G122" s="3">
        <v>0.868253123396246</v>
      </c>
      <c r="H122" s="4">
        <v>20.2</v>
      </c>
      <c r="I122" s="1">
        <v>4</v>
      </c>
      <c r="J122" s="7">
        <v>304.378894585246</v>
      </c>
      <c r="K122" s="8">
        <v>44.151577259856</v>
      </c>
      <c r="L122" s="9">
        <v>0.88366672958804</v>
      </c>
    </row>
    <row r="123" spans="1:12">
      <c r="A123" s="1">
        <v>60</v>
      </c>
      <c r="B123" s="1">
        <v>6.2</v>
      </c>
      <c r="C123" s="1">
        <v>0.174</v>
      </c>
      <c r="D123" s="1">
        <v>1</v>
      </c>
      <c r="E123" s="2">
        <v>0</v>
      </c>
      <c r="F123" s="1">
        <v>20</v>
      </c>
      <c r="G123" s="3">
        <v>0.868253123396246</v>
      </c>
      <c r="H123" s="4">
        <v>20.2</v>
      </c>
      <c r="I123" s="1">
        <v>3.2</v>
      </c>
      <c r="J123" s="7">
        <v>330.851864326758</v>
      </c>
      <c r="K123" s="8">
        <v>47.1412901024373</v>
      </c>
      <c r="L123" s="9">
        <v>0.913258027137993</v>
      </c>
    </row>
    <row r="124" spans="1:12">
      <c r="A124" s="1">
        <v>60</v>
      </c>
      <c r="B124" s="1">
        <v>6.6</v>
      </c>
      <c r="C124" s="1">
        <v>0.03</v>
      </c>
      <c r="D124" s="1">
        <v>1</v>
      </c>
      <c r="E124" s="2">
        <v>0</v>
      </c>
      <c r="F124" s="1">
        <v>20</v>
      </c>
      <c r="G124" s="3">
        <v>0.868253123396246</v>
      </c>
      <c r="H124" s="4">
        <v>20.2</v>
      </c>
      <c r="I124" s="1">
        <v>14.1</v>
      </c>
      <c r="J124" s="7">
        <v>300.632125734936</v>
      </c>
      <c r="K124" s="8">
        <v>56.8941137040218</v>
      </c>
      <c r="L124" s="9">
        <v>0.651752030534902</v>
      </c>
    </row>
    <row r="125" spans="1:12">
      <c r="A125" s="1">
        <v>60</v>
      </c>
      <c r="B125" s="1">
        <v>7</v>
      </c>
      <c r="C125" s="1">
        <v>0.078</v>
      </c>
      <c r="D125" s="1">
        <v>1</v>
      </c>
      <c r="E125" s="2">
        <v>0</v>
      </c>
      <c r="F125" s="1">
        <v>20</v>
      </c>
      <c r="G125" s="3">
        <v>0.868253123396246</v>
      </c>
      <c r="H125" s="4">
        <v>20.2</v>
      </c>
      <c r="I125" s="1">
        <v>7.9</v>
      </c>
      <c r="J125" s="7">
        <v>369.761345476447</v>
      </c>
      <c r="K125" s="8">
        <v>58.8638495589216</v>
      </c>
      <c r="L125" s="9">
        <v>0.895178442425871</v>
      </c>
    </row>
    <row r="126" spans="1:12">
      <c r="A126" s="1">
        <v>65</v>
      </c>
      <c r="B126" s="1">
        <v>5.8</v>
      </c>
      <c r="C126" s="1">
        <v>0.174</v>
      </c>
      <c r="D126" s="1">
        <v>1</v>
      </c>
      <c r="E126" s="2">
        <v>0</v>
      </c>
      <c r="F126" s="1">
        <v>20</v>
      </c>
      <c r="G126" s="3">
        <v>0.831152647810126</v>
      </c>
      <c r="H126" s="4">
        <v>20.1</v>
      </c>
      <c r="I126" s="1">
        <v>3.8</v>
      </c>
      <c r="J126" s="7">
        <v>391.559100590248</v>
      </c>
      <c r="K126" s="8">
        <v>57.3622016375713</v>
      </c>
      <c r="L126" s="9">
        <v>0.951837684016864</v>
      </c>
    </row>
    <row r="127" spans="1:12">
      <c r="A127" s="1">
        <v>65</v>
      </c>
      <c r="B127" s="1">
        <v>6.2</v>
      </c>
      <c r="C127" s="1">
        <v>0.126</v>
      </c>
      <c r="D127" s="1">
        <v>1</v>
      </c>
      <c r="E127" s="2">
        <v>0</v>
      </c>
      <c r="F127" s="1">
        <v>20</v>
      </c>
      <c r="G127" s="3">
        <v>0.831152647810126</v>
      </c>
      <c r="H127" s="4">
        <v>20.2</v>
      </c>
      <c r="I127" s="1">
        <v>5.6</v>
      </c>
      <c r="J127" s="7">
        <v>418.037494853191</v>
      </c>
      <c r="K127" s="8">
        <v>56.3412564173639</v>
      </c>
      <c r="L127" s="9">
        <v>0.950372119898863</v>
      </c>
    </row>
    <row r="128" spans="1:12">
      <c r="A128" s="1">
        <v>65</v>
      </c>
      <c r="B128" s="1">
        <v>6.6</v>
      </c>
      <c r="C128" s="1">
        <v>0.078</v>
      </c>
      <c r="D128" s="1">
        <v>1</v>
      </c>
      <c r="E128" s="2">
        <v>0</v>
      </c>
      <c r="F128" s="1">
        <v>20</v>
      </c>
      <c r="G128" s="3">
        <v>0.831152647810126</v>
      </c>
      <c r="H128" s="4">
        <v>20.1</v>
      </c>
      <c r="I128" s="1">
        <v>9.1</v>
      </c>
      <c r="J128" s="7">
        <v>432.624544062466</v>
      </c>
      <c r="K128" s="8">
        <v>71.0969180416826</v>
      </c>
      <c r="L128" s="9">
        <v>0.897945757728827</v>
      </c>
    </row>
    <row r="129" spans="1:12">
      <c r="A129" s="1">
        <v>65</v>
      </c>
      <c r="B129" s="1">
        <v>7</v>
      </c>
      <c r="C129" s="1">
        <v>0.03</v>
      </c>
      <c r="D129" s="1">
        <v>1</v>
      </c>
      <c r="E129" s="2">
        <v>0</v>
      </c>
      <c r="F129" s="1">
        <v>20</v>
      </c>
      <c r="G129" s="3">
        <v>0.831152647810126</v>
      </c>
      <c r="H129" s="4">
        <v>20.2</v>
      </c>
      <c r="I129" s="1">
        <v>18.5</v>
      </c>
      <c r="J129" s="7">
        <v>398.561318113817</v>
      </c>
      <c r="K129" s="8">
        <v>74.0533391723651</v>
      </c>
      <c r="L129" s="9">
        <v>0.662097194803204</v>
      </c>
    </row>
    <row r="130" spans="1:12">
      <c r="A130" s="2">
        <v>45</v>
      </c>
      <c r="B130" s="2">
        <v>4.5</v>
      </c>
      <c r="C130" s="2">
        <v>0.0132</v>
      </c>
      <c r="D130" s="2">
        <v>1</v>
      </c>
      <c r="E130" s="2">
        <v>1</v>
      </c>
      <c r="F130" s="2">
        <v>20.9</v>
      </c>
      <c r="G130" s="5">
        <v>0.93913980595102</v>
      </c>
      <c r="H130" s="6">
        <v>21.2</v>
      </c>
      <c r="I130" s="2">
        <v>10.5</v>
      </c>
      <c r="J130" s="6">
        <v>93.4252159541819</v>
      </c>
      <c r="K130" s="10">
        <v>26.7915603977083</v>
      </c>
      <c r="L130" s="11">
        <v>0.583264305877983</v>
      </c>
    </row>
    <row r="131" spans="1:12">
      <c r="A131" s="2">
        <v>47.5</v>
      </c>
      <c r="B131" s="2">
        <v>4.5</v>
      </c>
      <c r="C131" s="2">
        <v>0.0132</v>
      </c>
      <c r="D131" s="2">
        <v>1</v>
      </c>
      <c r="E131" s="2">
        <v>1</v>
      </c>
      <c r="F131" s="2">
        <v>20.9</v>
      </c>
      <c r="G131" s="5">
        <v>0.930523923822277</v>
      </c>
      <c r="H131" s="6">
        <v>21.2</v>
      </c>
      <c r="I131" s="2">
        <v>12.3</v>
      </c>
      <c r="J131" s="6">
        <v>109.148352945571</v>
      </c>
      <c r="K131" s="10">
        <v>30.1267568202681</v>
      </c>
      <c r="L131" s="11">
        <v>0.614135232011015</v>
      </c>
    </row>
    <row r="132" spans="1:12">
      <c r="A132" s="2">
        <v>50</v>
      </c>
      <c r="B132" s="2">
        <v>4.5</v>
      </c>
      <c r="C132" s="2">
        <v>0.0132</v>
      </c>
      <c r="D132" s="2">
        <v>1</v>
      </c>
      <c r="E132" s="2">
        <v>1</v>
      </c>
      <c r="F132" s="2">
        <v>20.9</v>
      </c>
      <c r="G132" s="5">
        <v>0.920818198615511</v>
      </c>
      <c r="H132" s="6">
        <v>21.3</v>
      </c>
      <c r="I132" s="2">
        <v>15.1</v>
      </c>
      <c r="J132" s="6">
        <v>129.573855735869</v>
      </c>
      <c r="K132" s="10">
        <v>33.8735409419288</v>
      </c>
      <c r="L132" s="11">
        <v>0.678731527680323</v>
      </c>
    </row>
    <row r="133" spans="1:12">
      <c r="A133" s="2">
        <v>52.5</v>
      </c>
      <c r="B133" s="2">
        <v>4.5</v>
      </c>
      <c r="C133" s="2">
        <v>0.0132</v>
      </c>
      <c r="D133" s="2">
        <v>1</v>
      </c>
      <c r="E133" s="2">
        <v>1</v>
      </c>
      <c r="F133" s="2">
        <v>20.9</v>
      </c>
      <c r="G133" s="5">
        <v>0.909893599259399</v>
      </c>
      <c r="H133" s="6">
        <v>21.3</v>
      </c>
      <c r="I133" s="2">
        <v>18</v>
      </c>
      <c r="J133" s="6">
        <v>151.420606082112</v>
      </c>
      <c r="K133" s="10">
        <v>40.4517915076827</v>
      </c>
      <c r="L133" s="11">
        <v>0.729222099708773</v>
      </c>
    </row>
    <row r="134" spans="1:12">
      <c r="A134" s="2">
        <v>55</v>
      </c>
      <c r="B134" s="2">
        <v>4.5</v>
      </c>
      <c r="C134" s="2">
        <v>0.0132</v>
      </c>
      <c r="D134" s="2">
        <v>1</v>
      </c>
      <c r="E134" s="2">
        <v>1</v>
      </c>
      <c r="F134" s="2">
        <v>20.9</v>
      </c>
      <c r="G134" s="5">
        <v>0.89760467536325</v>
      </c>
      <c r="H134" s="6">
        <v>21.3</v>
      </c>
      <c r="I134" s="2">
        <v>21.2</v>
      </c>
      <c r="J134" s="6">
        <v>175.43811938396</v>
      </c>
      <c r="K134" s="10">
        <v>48.7509978522071</v>
      </c>
      <c r="L134" s="11">
        <v>0.775065437055854</v>
      </c>
    </row>
    <row r="135" spans="1:12">
      <c r="A135" s="2">
        <v>57.5</v>
      </c>
      <c r="B135" s="2">
        <v>4.5</v>
      </c>
      <c r="C135" s="2">
        <v>0.0132</v>
      </c>
      <c r="D135" s="2">
        <v>1</v>
      </c>
      <c r="E135" s="2">
        <v>1</v>
      </c>
      <c r="F135" s="2">
        <v>20.9</v>
      </c>
      <c r="G135" s="5">
        <v>0.883786850160418</v>
      </c>
      <c r="H135" s="6">
        <v>21.3</v>
      </c>
      <c r="I135" s="2">
        <v>24.5</v>
      </c>
      <c r="J135" s="6">
        <v>200.904856995525</v>
      </c>
      <c r="K135" s="10">
        <v>58.545670373428</v>
      </c>
      <c r="L135" s="11">
        <v>0.80930788365195</v>
      </c>
    </row>
    <row r="136" spans="1:12">
      <c r="A136" s="2">
        <v>60</v>
      </c>
      <c r="B136" s="2">
        <v>4.5</v>
      </c>
      <c r="C136" s="2">
        <v>0.0132</v>
      </c>
      <c r="D136" s="2">
        <v>1</v>
      </c>
      <c r="E136" s="2">
        <v>1</v>
      </c>
      <c r="F136" s="2">
        <v>20.9</v>
      </c>
      <c r="G136" s="5">
        <v>0.868253123396246</v>
      </c>
      <c r="H136" s="6">
        <v>21.4</v>
      </c>
      <c r="I136" s="2">
        <v>28.1</v>
      </c>
      <c r="J136" s="6">
        <v>228.584141295631</v>
      </c>
      <c r="K136" s="10">
        <v>67.2917414199288</v>
      </c>
      <c r="L136" s="11">
        <v>0.83981679484378</v>
      </c>
    </row>
    <row r="137" spans="1:12">
      <c r="A137" s="2">
        <v>62.5</v>
      </c>
      <c r="B137" s="2">
        <v>4.5</v>
      </c>
      <c r="C137" s="2">
        <v>0.0132</v>
      </c>
      <c r="D137" s="2">
        <v>1</v>
      </c>
      <c r="E137" s="2">
        <v>1</v>
      </c>
      <c r="F137" s="2">
        <v>20.9</v>
      </c>
      <c r="G137" s="5">
        <v>0.850790029374404</v>
      </c>
      <c r="H137" s="6">
        <v>21.3</v>
      </c>
      <c r="I137" s="2">
        <v>30.6</v>
      </c>
      <c r="J137" s="6">
        <v>253.322725113024</v>
      </c>
      <c r="K137" s="10">
        <v>79.2036443618008</v>
      </c>
      <c r="L137" s="11">
        <v>0.828129376421185</v>
      </c>
    </row>
    <row r="138" spans="1:12">
      <c r="A138" s="2">
        <v>65</v>
      </c>
      <c r="B138" s="2">
        <v>4.5</v>
      </c>
      <c r="C138" s="2">
        <v>0.0132</v>
      </c>
      <c r="D138" s="2">
        <v>1</v>
      </c>
      <c r="E138" s="2">
        <v>1</v>
      </c>
      <c r="F138" s="2">
        <v>20.9</v>
      </c>
      <c r="G138" s="5">
        <v>0.831152647810126</v>
      </c>
      <c r="H138" s="6">
        <v>21.3</v>
      </c>
      <c r="I138" s="2">
        <v>33.6</v>
      </c>
      <c r="J138" s="6">
        <v>281.260207845151</v>
      </c>
      <c r="K138" s="10">
        <v>90.9964767569558</v>
      </c>
      <c r="L138" s="11">
        <v>0.824485752443105</v>
      </c>
    </row>
    <row r="139" spans="1:12">
      <c r="A139" s="2">
        <v>67.5</v>
      </c>
      <c r="B139" s="2">
        <v>4.5</v>
      </c>
      <c r="C139" s="2">
        <v>0.0132</v>
      </c>
      <c r="D139" s="2">
        <v>1</v>
      </c>
      <c r="E139" s="2">
        <v>1</v>
      </c>
      <c r="F139" s="2">
        <v>20.9</v>
      </c>
      <c r="G139" s="5">
        <v>0.809058400419842</v>
      </c>
      <c r="H139" s="6">
        <v>21.3</v>
      </c>
      <c r="I139" s="2">
        <v>37.1</v>
      </c>
      <c r="J139" s="6">
        <v>312.619807376079</v>
      </c>
      <c r="K139" s="10">
        <v>108.818575882054</v>
      </c>
      <c r="L139" s="11">
        <v>0.826379476486049</v>
      </c>
    </row>
    <row r="140" spans="1:12">
      <c r="A140" s="2">
        <v>70</v>
      </c>
      <c r="B140" s="2">
        <v>4.5</v>
      </c>
      <c r="C140" s="2">
        <v>0.0132</v>
      </c>
      <c r="D140" s="2">
        <v>1</v>
      </c>
      <c r="E140" s="2">
        <v>1</v>
      </c>
      <c r="F140" s="2">
        <v>20.9</v>
      </c>
      <c r="G140" s="5">
        <v>0.784179277129304</v>
      </c>
      <c r="H140" s="6">
        <v>21.4</v>
      </c>
      <c r="I140" s="2">
        <v>39.7</v>
      </c>
      <c r="J140" s="6">
        <v>341.773134865269</v>
      </c>
      <c r="K140" s="10">
        <v>112.664433668519</v>
      </c>
      <c r="L140" s="11">
        <v>0.803743177107316</v>
      </c>
    </row>
    <row r="141" spans="1:12">
      <c r="A141" s="2">
        <v>45</v>
      </c>
      <c r="B141" s="2">
        <v>6</v>
      </c>
      <c r="C141" s="2">
        <v>0.0138</v>
      </c>
      <c r="D141" s="2">
        <v>1</v>
      </c>
      <c r="E141" s="2">
        <v>1</v>
      </c>
      <c r="F141" s="2">
        <v>20.9</v>
      </c>
      <c r="G141" s="5">
        <v>0.93913980595102</v>
      </c>
      <c r="H141" s="6">
        <v>21.7</v>
      </c>
      <c r="I141" s="2">
        <v>13.1</v>
      </c>
      <c r="J141" s="6">
        <v>122.475987802807</v>
      </c>
      <c r="K141" s="10">
        <v>31.4719920639898</v>
      </c>
      <c r="L141" s="11">
        <v>0.57104207758783</v>
      </c>
    </row>
    <row r="142" spans="1:12">
      <c r="A142" s="2">
        <v>47.5</v>
      </c>
      <c r="B142" s="2">
        <v>6</v>
      </c>
      <c r="C142" s="2">
        <v>0.0138</v>
      </c>
      <c r="D142" s="2">
        <v>1</v>
      </c>
      <c r="E142" s="2">
        <v>1</v>
      </c>
      <c r="F142" s="2">
        <v>20.9</v>
      </c>
      <c r="G142" s="5">
        <v>0.930523923822277</v>
      </c>
      <c r="H142" s="6">
        <v>21.7</v>
      </c>
      <c r="I142" s="2">
        <v>15.1</v>
      </c>
      <c r="J142" s="6">
        <v>142.206379680888</v>
      </c>
      <c r="K142" s="10">
        <v>35.4252118136201</v>
      </c>
      <c r="L142" s="11">
        <v>0.591636724386701</v>
      </c>
    </row>
    <row r="143" spans="1:12">
      <c r="A143" s="2">
        <v>50</v>
      </c>
      <c r="B143" s="2">
        <v>6</v>
      </c>
      <c r="C143" s="2">
        <v>0.0138</v>
      </c>
      <c r="D143" s="2">
        <v>1</v>
      </c>
      <c r="E143" s="2">
        <v>1</v>
      </c>
      <c r="F143" s="2">
        <v>20.9</v>
      </c>
      <c r="G143" s="5">
        <v>0.920818198615511</v>
      </c>
      <c r="H143" s="6">
        <v>21.7</v>
      </c>
      <c r="I143" s="2">
        <v>18</v>
      </c>
      <c r="J143" s="6">
        <v>166.803534195881</v>
      </c>
      <c r="K143" s="10">
        <v>42.5930178325445</v>
      </c>
      <c r="L143" s="11">
        <v>0.634806141595022</v>
      </c>
    </row>
    <row r="144" spans="1:12">
      <c r="A144" s="2">
        <v>52.5</v>
      </c>
      <c r="B144" s="2">
        <v>6</v>
      </c>
      <c r="C144" s="2">
        <v>0.0138</v>
      </c>
      <c r="D144" s="2">
        <v>1</v>
      </c>
      <c r="E144" s="2">
        <v>1</v>
      </c>
      <c r="F144" s="2">
        <v>20.9</v>
      </c>
      <c r="G144" s="5">
        <v>0.909893599259399</v>
      </c>
      <c r="H144" s="6">
        <v>21.8</v>
      </c>
      <c r="I144" s="2">
        <v>20.2</v>
      </c>
      <c r="J144" s="6">
        <v>189.482884993347</v>
      </c>
      <c r="K144" s="10">
        <v>45.8182946676998</v>
      </c>
      <c r="L144" s="11">
        <v>0.642177464574108</v>
      </c>
    </row>
    <row r="145" spans="1:12">
      <c r="A145" s="2">
        <v>55</v>
      </c>
      <c r="B145" s="2">
        <v>6</v>
      </c>
      <c r="C145" s="2">
        <v>0.0138</v>
      </c>
      <c r="D145" s="2">
        <v>1</v>
      </c>
      <c r="E145" s="2">
        <v>1</v>
      </c>
      <c r="F145" s="2">
        <v>20.9</v>
      </c>
      <c r="G145" s="5">
        <v>0.89760467536325</v>
      </c>
      <c r="H145" s="6">
        <v>21.8</v>
      </c>
      <c r="I145" s="2">
        <v>23.3</v>
      </c>
      <c r="J145" s="6">
        <v>217.399636837176</v>
      </c>
      <c r="K145" s="10">
        <v>54.567454872545</v>
      </c>
      <c r="L145" s="11">
        <v>0.668456885744614</v>
      </c>
    </row>
    <row r="146" spans="1:12">
      <c r="A146" s="2">
        <v>57.5</v>
      </c>
      <c r="B146" s="2">
        <v>6</v>
      </c>
      <c r="C146" s="2">
        <v>0.0138</v>
      </c>
      <c r="D146" s="2">
        <v>1</v>
      </c>
      <c r="E146" s="2">
        <v>1</v>
      </c>
      <c r="F146" s="2">
        <v>20.9</v>
      </c>
      <c r="G146" s="5">
        <v>0.883786850160418</v>
      </c>
      <c r="H146" s="6">
        <v>21.8</v>
      </c>
      <c r="I146" s="2">
        <v>25.9</v>
      </c>
      <c r="J146" s="6">
        <v>244.618117762866</v>
      </c>
      <c r="K146" s="10">
        <v>61.7936381330431</v>
      </c>
      <c r="L146" s="11">
        <v>0.671368604393283</v>
      </c>
    </row>
    <row r="147" spans="1:12">
      <c r="A147" s="2">
        <v>60</v>
      </c>
      <c r="B147" s="2">
        <v>6</v>
      </c>
      <c r="C147" s="2">
        <v>0.0138</v>
      </c>
      <c r="D147" s="2">
        <v>1</v>
      </c>
      <c r="E147" s="2">
        <v>1</v>
      </c>
      <c r="F147" s="2">
        <v>20.9</v>
      </c>
      <c r="G147" s="5">
        <v>0.868253123396246</v>
      </c>
      <c r="H147" s="6">
        <v>21.9</v>
      </c>
      <c r="I147" s="2">
        <v>31.2</v>
      </c>
      <c r="J147" s="6">
        <v>284.500687010627</v>
      </c>
      <c r="K147" s="10">
        <v>85.2208514531509</v>
      </c>
      <c r="L147" s="11">
        <v>0.731720074778279</v>
      </c>
    </row>
    <row r="148" spans="1:12">
      <c r="A148" s="2">
        <v>62.5</v>
      </c>
      <c r="B148" s="2">
        <v>6</v>
      </c>
      <c r="C148" s="2">
        <v>0.0138</v>
      </c>
      <c r="D148" s="2">
        <v>1</v>
      </c>
      <c r="E148" s="2">
        <v>1</v>
      </c>
      <c r="F148" s="2">
        <v>20.9</v>
      </c>
      <c r="G148" s="5">
        <v>0.850790029374404</v>
      </c>
      <c r="H148" s="6">
        <v>21.9</v>
      </c>
      <c r="I148" s="2">
        <v>36.7</v>
      </c>
      <c r="J148" s="6">
        <v>327.022752170802</v>
      </c>
      <c r="K148" s="10">
        <v>133.260530929219</v>
      </c>
      <c r="L148" s="11">
        <v>0.779511454689336</v>
      </c>
    </row>
    <row r="149" spans="1:12">
      <c r="A149" s="2">
        <v>65</v>
      </c>
      <c r="B149" s="2">
        <v>6</v>
      </c>
      <c r="C149" s="2">
        <v>0.0138</v>
      </c>
      <c r="D149" s="2">
        <v>1</v>
      </c>
      <c r="E149" s="2">
        <v>1</v>
      </c>
      <c r="F149" s="2">
        <v>20.9</v>
      </c>
      <c r="G149" s="5">
        <v>0.831152647810126</v>
      </c>
      <c r="H149" s="6">
        <v>22</v>
      </c>
      <c r="I149" s="2">
        <v>39.1</v>
      </c>
      <c r="J149" s="6">
        <v>358.140387919349</v>
      </c>
      <c r="K149" s="10">
        <v>139.043665006018</v>
      </c>
      <c r="L149" s="11">
        <v>0.753125308055874</v>
      </c>
    </row>
    <row r="150" spans="1:12">
      <c r="A150" s="2">
        <v>67.5</v>
      </c>
      <c r="B150" s="2">
        <v>6</v>
      </c>
      <c r="C150" s="2">
        <v>0.0138</v>
      </c>
      <c r="D150" s="2">
        <v>1</v>
      </c>
      <c r="E150" s="2">
        <v>1</v>
      </c>
      <c r="F150" s="2">
        <v>20.9</v>
      </c>
      <c r="G150" s="5">
        <v>0.809058400419842</v>
      </c>
      <c r="H150" s="6">
        <v>22.1</v>
      </c>
      <c r="I150" s="2">
        <v>40.8</v>
      </c>
      <c r="J150" s="6">
        <v>388.216956869976</v>
      </c>
      <c r="K150" s="10">
        <v>132.967376393832</v>
      </c>
      <c r="L150" s="11">
        <v>0.713475032105164</v>
      </c>
    </row>
    <row r="151" spans="1:12">
      <c r="A151" s="2">
        <v>70</v>
      </c>
      <c r="B151" s="2">
        <v>6</v>
      </c>
      <c r="C151" s="2">
        <v>0.0138</v>
      </c>
      <c r="D151" s="2">
        <v>1</v>
      </c>
      <c r="E151" s="2">
        <v>1</v>
      </c>
      <c r="F151" s="2">
        <v>20.9</v>
      </c>
      <c r="G151" s="5">
        <v>0.784179277129304</v>
      </c>
      <c r="H151" s="6">
        <v>22.2</v>
      </c>
      <c r="I151" s="2">
        <v>43.6</v>
      </c>
      <c r="J151" s="6">
        <v>424.939014252316</v>
      </c>
      <c r="K151" s="10">
        <v>145.934562368206</v>
      </c>
      <c r="L151" s="11">
        <v>0.692985358133841</v>
      </c>
    </row>
    <row r="152" spans="1:12">
      <c r="A152" s="2">
        <v>45</v>
      </c>
      <c r="B152" s="2">
        <v>6.7</v>
      </c>
      <c r="C152" s="2">
        <v>0.0132</v>
      </c>
      <c r="D152" s="2">
        <v>1</v>
      </c>
      <c r="E152" s="2">
        <v>1</v>
      </c>
      <c r="F152" s="2">
        <v>23</v>
      </c>
      <c r="G152" s="5">
        <v>0.93913980595102</v>
      </c>
      <c r="H152" s="6">
        <v>23.1</v>
      </c>
      <c r="I152" s="2">
        <v>14.2</v>
      </c>
      <c r="J152" s="6">
        <v>129.567202819187</v>
      </c>
      <c r="K152" s="10">
        <v>73.3099449573805</v>
      </c>
      <c r="L152" s="11">
        <v>0.531431074460585</v>
      </c>
    </row>
    <row r="153" spans="1:12">
      <c r="A153" s="2">
        <v>47.5</v>
      </c>
      <c r="B153" s="2">
        <v>6.7</v>
      </c>
      <c r="C153" s="2">
        <v>0.0132</v>
      </c>
      <c r="D153" s="2">
        <v>1</v>
      </c>
      <c r="E153" s="2">
        <v>1</v>
      </c>
      <c r="F153" s="2">
        <v>23</v>
      </c>
      <c r="G153" s="5">
        <v>0.930523923822277</v>
      </c>
      <c r="H153" s="6">
        <v>23.1</v>
      </c>
      <c r="I153" s="2">
        <v>16.1</v>
      </c>
      <c r="J153" s="6">
        <v>149.875434403748</v>
      </c>
      <c r="K153" s="10">
        <v>80.008505119285</v>
      </c>
      <c r="L153" s="11">
        <v>0.54157900627456</v>
      </c>
    </row>
    <row r="154" spans="1:12">
      <c r="A154" s="2">
        <v>50</v>
      </c>
      <c r="B154" s="2">
        <v>6.7</v>
      </c>
      <c r="C154" s="2">
        <v>0.0132</v>
      </c>
      <c r="D154" s="2">
        <v>1</v>
      </c>
      <c r="E154" s="2">
        <v>1</v>
      </c>
      <c r="F154" s="2">
        <v>23</v>
      </c>
      <c r="G154" s="5">
        <v>0.920818198615511</v>
      </c>
      <c r="H154" s="6">
        <v>23.1</v>
      </c>
      <c r="I154" s="2">
        <v>18.7</v>
      </c>
      <c r="J154" s="6">
        <v>174.213164610511</v>
      </c>
      <c r="K154" s="10">
        <v>93.8805129504486</v>
      </c>
      <c r="L154" s="11">
        <v>0.566192359524464</v>
      </c>
    </row>
    <row r="155" spans="1:12">
      <c r="A155" s="2">
        <v>52.5</v>
      </c>
      <c r="B155" s="2">
        <v>6.7</v>
      </c>
      <c r="C155" s="2">
        <v>0.0132</v>
      </c>
      <c r="D155" s="2">
        <v>1</v>
      </c>
      <c r="E155" s="2">
        <v>1</v>
      </c>
      <c r="F155" s="2">
        <v>23</v>
      </c>
      <c r="G155" s="5">
        <v>0.909893599259399</v>
      </c>
      <c r="H155" s="6">
        <v>23.1</v>
      </c>
      <c r="I155" s="2">
        <v>21.4</v>
      </c>
      <c r="J155" s="6">
        <v>200.281169910829</v>
      </c>
      <c r="K155" s="10">
        <v>110.015677226431</v>
      </c>
      <c r="L155" s="11">
        <v>0.583979129688085</v>
      </c>
    </row>
    <row r="156" spans="1:12">
      <c r="A156" s="2">
        <v>55</v>
      </c>
      <c r="B156" s="2">
        <v>6.7</v>
      </c>
      <c r="C156" s="2">
        <v>0.0132</v>
      </c>
      <c r="D156" s="2">
        <v>1</v>
      </c>
      <c r="E156" s="2">
        <v>1</v>
      </c>
      <c r="F156" s="2">
        <v>23</v>
      </c>
      <c r="G156" s="5">
        <v>0.89760467536325</v>
      </c>
      <c r="H156" s="6">
        <v>23.1</v>
      </c>
      <c r="I156" s="2">
        <v>24.2</v>
      </c>
      <c r="J156" s="6">
        <v>228.192933636147</v>
      </c>
      <c r="K156" s="10">
        <v>129.113008852051</v>
      </c>
      <c r="L156" s="11">
        <v>0.595948961114641</v>
      </c>
    </row>
    <row r="157" spans="1:12">
      <c r="A157" s="2">
        <v>57.5</v>
      </c>
      <c r="B157" s="2">
        <v>6.7</v>
      </c>
      <c r="C157" s="2">
        <v>0.0132</v>
      </c>
      <c r="D157" s="2">
        <v>1</v>
      </c>
      <c r="E157" s="2">
        <v>1</v>
      </c>
      <c r="F157" s="2">
        <v>23</v>
      </c>
      <c r="G157" s="5">
        <v>0.883786850160418</v>
      </c>
      <c r="H157" s="6">
        <v>23.1</v>
      </c>
      <c r="I157" s="2">
        <v>27.3</v>
      </c>
      <c r="J157" s="6">
        <v>258.870651788354</v>
      </c>
      <c r="K157" s="10">
        <v>155.930048691669</v>
      </c>
      <c r="L157" s="11">
        <v>0.607430395953873</v>
      </c>
    </row>
    <row r="158" spans="1:12">
      <c r="A158" s="2">
        <v>60</v>
      </c>
      <c r="B158" s="2">
        <v>6.7</v>
      </c>
      <c r="C158" s="2">
        <v>0.0132</v>
      </c>
      <c r="D158" s="2">
        <v>1</v>
      </c>
      <c r="E158" s="2">
        <v>1</v>
      </c>
      <c r="F158" s="2">
        <v>23</v>
      </c>
      <c r="G158" s="5">
        <v>0.868253123396246</v>
      </c>
      <c r="H158" s="6">
        <v>23.2</v>
      </c>
      <c r="I158" s="2">
        <v>30.5</v>
      </c>
      <c r="J158" s="6">
        <v>291.443605607848</v>
      </c>
      <c r="K158" s="10">
        <v>161.045264067077</v>
      </c>
      <c r="L158" s="11">
        <v>0.613986891181269</v>
      </c>
    </row>
    <row r="159" spans="1:12">
      <c r="A159" s="2">
        <v>45</v>
      </c>
      <c r="B159" s="2">
        <v>5.5</v>
      </c>
      <c r="C159" s="2">
        <v>0.063</v>
      </c>
      <c r="D159" s="2">
        <v>1</v>
      </c>
      <c r="E159" s="2">
        <v>1</v>
      </c>
      <c r="F159" s="2">
        <v>20</v>
      </c>
      <c r="G159" s="5">
        <v>0.93913980595102</v>
      </c>
      <c r="H159" s="6">
        <v>20.1</v>
      </c>
      <c r="I159" s="2">
        <v>2.5</v>
      </c>
      <c r="J159" s="6">
        <v>112.276084005364</v>
      </c>
      <c r="K159" s="10">
        <v>27.1472564169368</v>
      </c>
      <c r="L159" s="11">
        <v>0.541317518177506</v>
      </c>
    </row>
    <row r="160" spans="1:12">
      <c r="A160" s="2">
        <v>47.5</v>
      </c>
      <c r="B160" s="2">
        <v>5.5</v>
      </c>
      <c r="C160" s="2">
        <v>0.063</v>
      </c>
      <c r="D160" s="2">
        <v>1</v>
      </c>
      <c r="E160" s="2">
        <v>1</v>
      </c>
      <c r="F160" s="2">
        <v>20</v>
      </c>
      <c r="G160" s="5">
        <v>0.930523923822277</v>
      </c>
      <c r="H160" s="6">
        <v>20.1</v>
      </c>
      <c r="I160" s="2">
        <v>3.2</v>
      </c>
      <c r="J160" s="6">
        <v>136.058006949933</v>
      </c>
      <c r="K160" s="10">
        <v>30.8832641336543</v>
      </c>
      <c r="L160" s="11">
        <v>0.622799173081746</v>
      </c>
    </row>
    <row r="161" spans="1:12">
      <c r="A161" s="2">
        <v>50</v>
      </c>
      <c r="B161" s="2">
        <v>5.5</v>
      </c>
      <c r="C161" s="2">
        <v>0.063</v>
      </c>
      <c r="D161" s="2">
        <v>1</v>
      </c>
      <c r="E161" s="2">
        <v>1</v>
      </c>
      <c r="F161" s="2">
        <v>20</v>
      </c>
      <c r="G161" s="5">
        <v>0.920818198615511</v>
      </c>
      <c r="H161" s="6">
        <v>20.1</v>
      </c>
      <c r="I161" s="2">
        <v>4</v>
      </c>
      <c r="J161" s="6">
        <v>162.755175989738</v>
      </c>
      <c r="K161" s="10">
        <v>34.94323233509</v>
      </c>
      <c r="L161" s="11">
        <v>0.700733781810345</v>
      </c>
    </row>
    <row r="162" spans="1:12">
      <c r="A162" s="2">
        <v>52.5</v>
      </c>
      <c r="B162" s="2">
        <v>5.5</v>
      </c>
      <c r="C162" s="2">
        <v>0.063</v>
      </c>
      <c r="D162" s="2">
        <v>1</v>
      </c>
      <c r="E162" s="2">
        <v>1</v>
      </c>
      <c r="F162" s="2">
        <v>20</v>
      </c>
      <c r="G162" s="5">
        <v>0.909893599259399</v>
      </c>
      <c r="H162" s="6">
        <v>20.2</v>
      </c>
      <c r="I162" s="2">
        <v>4.6</v>
      </c>
      <c r="J162" s="6">
        <v>186.563683670206</v>
      </c>
      <c r="K162" s="10">
        <v>33.2586109102086</v>
      </c>
      <c r="L162" s="11">
        <v>0.726424850853512</v>
      </c>
    </row>
    <row r="163" spans="1:12">
      <c r="A163" s="2">
        <v>55</v>
      </c>
      <c r="B163" s="2">
        <v>5.5</v>
      </c>
      <c r="C163" s="2">
        <v>0.063</v>
      </c>
      <c r="D163" s="2">
        <v>1</v>
      </c>
      <c r="E163" s="2">
        <v>1</v>
      </c>
      <c r="F163" s="2">
        <v>20</v>
      </c>
      <c r="G163" s="5">
        <v>0.89760467536325</v>
      </c>
      <c r="H163" s="6">
        <v>20.2</v>
      </c>
      <c r="I163" s="2">
        <v>5.2</v>
      </c>
      <c r="J163" s="6">
        <v>211.704431985486</v>
      </c>
      <c r="K163" s="10">
        <v>35.7891084589884</v>
      </c>
      <c r="L163" s="11">
        <v>0.741061916450669</v>
      </c>
    </row>
    <row r="164" spans="1:12">
      <c r="A164" s="2">
        <v>57.5</v>
      </c>
      <c r="B164" s="2">
        <v>5.5</v>
      </c>
      <c r="C164" s="2">
        <v>0.063</v>
      </c>
      <c r="D164" s="2">
        <v>1</v>
      </c>
      <c r="E164" s="2">
        <v>1</v>
      </c>
      <c r="F164" s="2">
        <v>20</v>
      </c>
      <c r="G164" s="5">
        <v>0.883786850160418</v>
      </c>
      <c r="H164" s="6">
        <v>20.2</v>
      </c>
      <c r="I164" s="2">
        <v>6.1</v>
      </c>
      <c r="J164" s="6">
        <v>243.867556532276</v>
      </c>
      <c r="K164" s="10">
        <v>39.5209714672072</v>
      </c>
      <c r="L164" s="11">
        <v>0.785469337816217</v>
      </c>
    </row>
    <row r="165" spans="1:12">
      <c r="A165" s="2">
        <v>60</v>
      </c>
      <c r="B165" s="2">
        <v>5.5</v>
      </c>
      <c r="C165" s="2">
        <v>0.063</v>
      </c>
      <c r="D165" s="2">
        <v>1</v>
      </c>
      <c r="E165" s="2">
        <v>1</v>
      </c>
      <c r="F165" s="2">
        <v>20</v>
      </c>
      <c r="G165" s="5">
        <v>0.868253123396246</v>
      </c>
      <c r="H165" s="6">
        <v>20.2</v>
      </c>
      <c r="I165" s="2">
        <v>7</v>
      </c>
      <c r="J165" s="6">
        <v>277.414792279113</v>
      </c>
      <c r="K165" s="10">
        <v>43.184902531421</v>
      </c>
      <c r="L165" s="11">
        <v>0.815383391392601</v>
      </c>
    </row>
    <row r="166" spans="1:12">
      <c r="A166" s="2">
        <v>62.5</v>
      </c>
      <c r="B166" s="2">
        <v>5.7</v>
      </c>
      <c r="C166" s="2">
        <v>0.063</v>
      </c>
      <c r="D166" s="2">
        <v>1</v>
      </c>
      <c r="E166" s="2">
        <v>1</v>
      </c>
      <c r="F166" s="2">
        <v>20</v>
      </c>
      <c r="G166" s="5">
        <v>0.850790029374404</v>
      </c>
      <c r="H166" s="6">
        <v>20.2</v>
      </c>
      <c r="I166" s="2">
        <v>8.1</v>
      </c>
      <c r="J166" s="6">
        <v>322.147321611364</v>
      </c>
      <c r="K166" s="10">
        <v>48.4868876817177</v>
      </c>
      <c r="L166" s="11">
        <v>0.824531788398358</v>
      </c>
    </row>
    <row r="167" spans="1:12">
      <c r="A167" s="2">
        <v>65</v>
      </c>
      <c r="B167" s="2">
        <v>5.7</v>
      </c>
      <c r="C167" s="2">
        <v>0.063</v>
      </c>
      <c r="D167" s="2">
        <v>1</v>
      </c>
      <c r="E167" s="2">
        <v>1</v>
      </c>
      <c r="F167" s="2">
        <v>20</v>
      </c>
      <c r="G167" s="5">
        <v>0.831152647810126</v>
      </c>
      <c r="H167" s="6">
        <v>20.3</v>
      </c>
      <c r="I167" s="2">
        <v>9.1</v>
      </c>
      <c r="J167" s="6">
        <v>361.269244603637</v>
      </c>
      <c r="K167" s="10">
        <v>48.5552978485793</v>
      </c>
      <c r="L167" s="11">
        <v>0.84004517399657</v>
      </c>
    </row>
    <row r="168" spans="1:12">
      <c r="A168" s="2">
        <v>67.5</v>
      </c>
      <c r="B168" s="2">
        <v>5.7</v>
      </c>
      <c r="C168" s="2">
        <v>0.063</v>
      </c>
      <c r="D168" s="2">
        <v>1</v>
      </c>
      <c r="E168" s="2">
        <v>1</v>
      </c>
      <c r="F168" s="2">
        <v>20</v>
      </c>
      <c r="G168" s="5">
        <v>0.809058400419842</v>
      </c>
      <c r="H168" s="6">
        <v>20.3</v>
      </c>
      <c r="I168" s="2">
        <v>10.3</v>
      </c>
      <c r="J168" s="6">
        <v>406.162895088737</v>
      </c>
      <c r="K168" s="10">
        <v>53.0574394533607</v>
      </c>
      <c r="L168" s="11">
        <v>0.863103572652896</v>
      </c>
    </row>
    <row r="169" spans="1:12">
      <c r="A169" s="2">
        <v>70</v>
      </c>
      <c r="B169" s="2">
        <v>5.7</v>
      </c>
      <c r="C169" s="2">
        <v>0.063</v>
      </c>
      <c r="D169" s="2">
        <v>1</v>
      </c>
      <c r="E169" s="2">
        <v>1</v>
      </c>
      <c r="F169" s="2">
        <v>20</v>
      </c>
      <c r="G169" s="5">
        <v>0.784179277129304</v>
      </c>
      <c r="H169" s="6">
        <v>20.3</v>
      </c>
      <c r="I169" s="2">
        <v>11.5</v>
      </c>
      <c r="J169" s="6">
        <v>452.982048348475</v>
      </c>
      <c r="K169" s="10">
        <v>57.5670344246308</v>
      </c>
      <c r="L169" s="11">
        <v>0.87574829554703</v>
      </c>
    </row>
    <row r="170" spans="1:12">
      <c r="A170" s="2">
        <v>45</v>
      </c>
      <c r="B170" s="2">
        <v>8.5</v>
      </c>
      <c r="C170" s="2">
        <v>0.063</v>
      </c>
      <c r="D170" s="2">
        <v>1</v>
      </c>
      <c r="E170" s="2">
        <v>1</v>
      </c>
      <c r="F170" s="2">
        <v>20.1</v>
      </c>
      <c r="G170" s="5">
        <v>0.93913980595102</v>
      </c>
      <c r="H170" s="6">
        <v>20.2</v>
      </c>
      <c r="I170" s="2">
        <v>4.9</v>
      </c>
      <c r="J170" s="6">
        <v>193.118816688582</v>
      </c>
      <c r="K170" s="10">
        <v>51.4173256416245</v>
      </c>
      <c r="L170" s="11">
        <v>0.686630240911944</v>
      </c>
    </row>
    <row r="171" spans="1:12">
      <c r="A171" s="2">
        <v>47.5</v>
      </c>
      <c r="B171" s="2">
        <v>8.5</v>
      </c>
      <c r="C171" s="2">
        <v>0.063</v>
      </c>
      <c r="D171" s="2">
        <v>1</v>
      </c>
      <c r="E171" s="2">
        <v>1</v>
      </c>
      <c r="F171" s="2">
        <v>20.1</v>
      </c>
      <c r="G171" s="5">
        <v>0.930523923822277</v>
      </c>
      <c r="H171" s="6">
        <v>20.2</v>
      </c>
      <c r="I171" s="2">
        <v>5.8</v>
      </c>
      <c r="J171" s="6">
        <v>226.394017960287</v>
      </c>
      <c r="K171" s="10">
        <v>56.6014361102696</v>
      </c>
      <c r="L171" s="11">
        <v>0.730534157481079</v>
      </c>
    </row>
    <row r="172" spans="1:12">
      <c r="A172" s="2">
        <v>50</v>
      </c>
      <c r="B172" s="2">
        <v>8.5</v>
      </c>
      <c r="C172" s="2">
        <v>0.063</v>
      </c>
      <c r="D172" s="2">
        <v>1</v>
      </c>
      <c r="E172" s="2">
        <v>1</v>
      </c>
      <c r="F172" s="2">
        <v>20.1</v>
      </c>
      <c r="G172" s="5">
        <v>0.920818198615511</v>
      </c>
      <c r="H172" s="6">
        <v>20.2</v>
      </c>
      <c r="I172" s="2">
        <v>6.7</v>
      </c>
      <c r="J172" s="6">
        <v>261.216592715101</v>
      </c>
      <c r="K172" s="10">
        <v>61.5921289021942</v>
      </c>
      <c r="L172" s="11">
        <v>0.759594941849144</v>
      </c>
    </row>
    <row r="173" spans="1:12">
      <c r="A173" s="2">
        <v>52.5</v>
      </c>
      <c r="B173" s="2">
        <v>8.5</v>
      </c>
      <c r="C173" s="2">
        <v>0.063</v>
      </c>
      <c r="D173" s="2">
        <v>1</v>
      </c>
      <c r="E173" s="2">
        <v>1</v>
      </c>
      <c r="F173" s="2">
        <v>20.1</v>
      </c>
      <c r="G173" s="5">
        <v>0.909893599259399</v>
      </c>
      <c r="H173" s="6">
        <v>20.4</v>
      </c>
      <c r="I173" s="2">
        <v>7.6</v>
      </c>
      <c r="J173" s="6">
        <v>297.258024801482</v>
      </c>
      <c r="K173" s="10">
        <v>53.564882449657</v>
      </c>
      <c r="L173" s="11">
        <v>0.776838037391884</v>
      </c>
    </row>
    <row r="174" spans="1:12">
      <c r="A174" s="2">
        <v>55</v>
      </c>
      <c r="B174" s="2">
        <v>8.5</v>
      </c>
      <c r="C174" s="2">
        <v>0.063</v>
      </c>
      <c r="D174" s="2">
        <v>1</v>
      </c>
      <c r="E174" s="2">
        <v>1</v>
      </c>
      <c r="F174" s="2">
        <v>20.1</v>
      </c>
      <c r="G174" s="5">
        <v>0.89760467536325</v>
      </c>
      <c r="H174" s="6">
        <v>20.4</v>
      </c>
      <c r="I174" s="2">
        <v>8.8</v>
      </c>
      <c r="J174" s="6">
        <v>341.335601679466</v>
      </c>
      <c r="K174" s="10">
        <v>59.0842416560534</v>
      </c>
      <c r="L174" s="11">
        <v>0.811740638234354</v>
      </c>
    </row>
    <row r="175" spans="1:12">
      <c r="A175" s="2">
        <v>57.5</v>
      </c>
      <c r="B175" s="2">
        <v>8.5</v>
      </c>
      <c r="C175" s="2">
        <v>0.063</v>
      </c>
      <c r="D175" s="2">
        <v>1</v>
      </c>
      <c r="E175" s="2">
        <v>1</v>
      </c>
      <c r="F175" s="2">
        <v>20.1</v>
      </c>
      <c r="G175" s="5">
        <v>0.883786850160418</v>
      </c>
      <c r="H175" s="6">
        <v>20.4</v>
      </c>
      <c r="I175" s="2">
        <v>10.1</v>
      </c>
      <c r="J175" s="6">
        <v>389.3059589071</v>
      </c>
      <c r="K175" s="10">
        <v>65.040906877028</v>
      </c>
      <c r="L175" s="11">
        <v>0.841789841395322</v>
      </c>
    </row>
    <row r="176" spans="1:12">
      <c r="A176" s="2">
        <v>60</v>
      </c>
      <c r="B176" s="2">
        <v>8.5</v>
      </c>
      <c r="C176" s="2">
        <v>0.063</v>
      </c>
      <c r="D176" s="2">
        <v>1</v>
      </c>
      <c r="E176" s="2">
        <v>1</v>
      </c>
      <c r="F176" s="2">
        <v>20.1</v>
      </c>
      <c r="G176" s="5">
        <v>0.868253123396246</v>
      </c>
      <c r="H176" s="6">
        <v>20.4</v>
      </c>
      <c r="I176" s="2">
        <v>11.3</v>
      </c>
      <c r="J176" s="6">
        <v>437.501602213985</v>
      </c>
      <c r="K176" s="10">
        <v>70.4544467434133</v>
      </c>
      <c r="L176" s="11">
        <v>0.851970612955873</v>
      </c>
    </row>
    <row r="177" spans="1:12">
      <c r="A177" s="2">
        <v>62.5</v>
      </c>
      <c r="B177" s="2">
        <v>8.5</v>
      </c>
      <c r="C177" s="2">
        <v>0.063</v>
      </c>
      <c r="D177" s="2">
        <v>1</v>
      </c>
      <c r="E177" s="2">
        <v>1</v>
      </c>
      <c r="F177" s="2">
        <v>20.1</v>
      </c>
      <c r="G177" s="5">
        <v>0.850790029374404</v>
      </c>
      <c r="H177" s="6">
        <v>20.4</v>
      </c>
      <c r="I177" s="2">
        <v>12.8</v>
      </c>
      <c r="J177" s="6">
        <v>493.74820325045</v>
      </c>
      <c r="K177" s="10">
        <v>77.3777103352551</v>
      </c>
      <c r="L177" s="11">
        <v>0.874029961772263</v>
      </c>
    </row>
    <row r="178" spans="1:12">
      <c r="A178" s="2">
        <v>65</v>
      </c>
      <c r="B178" s="2">
        <v>8.5</v>
      </c>
      <c r="C178" s="2">
        <v>0.063</v>
      </c>
      <c r="D178" s="2">
        <v>1</v>
      </c>
      <c r="E178" s="2">
        <v>1</v>
      </c>
      <c r="F178" s="2">
        <v>20.1</v>
      </c>
      <c r="G178" s="5">
        <v>0.831152647810126</v>
      </c>
      <c r="H178" s="6">
        <v>20.4</v>
      </c>
      <c r="I178" s="2">
        <v>14.3</v>
      </c>
      <c r="J178" s="6">
        <v>552.481970771675</v>
      </c>
      <c r="K178" s="10">
        <v>84.330498173225</v>
      </c>
      <c r="L178" s="11">
        <v>0.88536419706343</v>
      </c>
    </row>
    <row r="179" spans="1:12">
      <c r="A179" s="2">
        <v>67.5</v>
      </c>
      <c r="B179" s="2">
        <v>8.5</v>
      </c>
      <c r="C179" s="2">
        <v>0.063</v>
      </c>
      <c r="D179" s="2">
        <v>1</v>
      </c>
      <c r="E179" s="2">
        <v>1</v>
      </c>
      <c r="F179" s="2">
        <v>20.1</v>
      </c>
      <c r="G179" s="5">
        <v>0.809058400419842</v>
      </c>
      <c r="H179" s="6">
        <v>20.4</v>
      </c>
      <c r="I179" s="2">
        <v>15.9</v>
      </c>
      <c r="J179" s="6">
        <v>615.804509115913</v>
      </c>
      <c r="K179" s="10">
        <v>91.8567233613359</v>
      </c>
      <c r="L179" s="11">
        <v>0.893608337957952</v>
      </c>
    </row>
    <row r="180" spans="1:12">
      <c r="A180" s="2">
        <v>70</v>
      </c>
      <c r="B180" s="2">
        <v>8.5</v>
      </c>
      <c r="C180" s="2">
        <v>0.063</v>
      </c>
      <c r="D180" s="2">
        <v>1</v>
      </c>
      <c r="E180" s="2">
        <v>1</v>
      </c>
      <c r="F180" s="2">
        <v>20.1</v>
      </c>
      <c r="G180" s="5">
        <v>0.784179277129304</v>
      </c>
      <c r="H180" s="6">
        <v>20.4</v>
      </c>
      <c r="I180" s="2">
        <v>17</v>
      </c>
      <c r="J180" s="6">
        <v>672.428288435259</v>
      </c>
      <c r="K180" s="10">
        <v>96.8924911685902</v>
      </c>
      <c r="L180" s="11">
        <v>0.868269431524452</v>
      </c>
    </row>
    <row r="181" spans="1:12">
      <c r="A181" s="2">
        <v>45</v>
      </c>
      <c r="B181" s="2">
        <v>10</v>
      </c>
      <c r="C181" s="2">
        <v>0.063</v>
      </c>
      <c r="D181" s="2">
        <v>1</v>
      </c>
      <c r="E181" s="2">
        <v>1</v>
      </c>
      <c r="F181" s="2">
        <v>19.9</v>
      </c>
      <c r="G181" s="5">
        <v>0.93913980595102</v>
      </c>
      <c r="H181" s="6">
        <v>20.3</v>
      </c>
      <c r="I181" s="2">
        <v>5.9</v>
      </c>
      <c r="J181" s="6">
        <v>229.510300905931</v>
      </c>
      <c r="K181" s="10">
        <v>47.2596015362135</v>
      </c>
      <c r="L181" s="11">
        <v>0.702859925966169</v>
      </c>
    </row>
    <row r="182" spans="1:12">
      <c r="A182" s="2">
        <v>47.5</v>
      </c>
      <c r="B182" s="2">
        <v>10</v>
      </c>
      <c r="C182" s="2">
        <v>0.063</v>
      </c>
      <c r="D182" s="2">
        <v>1</v>
      </c>
      <c r="E182" s="2">
        <v>1</v>
      </c>
      <c r="F182" s="2">
        <v>19.9</v>
      </c>
      <c r="G182" s="5">
        <v>0.930523923822277</v>
      </c>
      <c r="H182" s="6">
        <v>20.3</v>
      </c>
      <c r="I182" s="2">
        <v>6.7</v>
      </c>
      <c r="J182" s="6">
        <v>263.705257647836</v>
      </c>
      <c r="K182" s="10">
        <v>50.8891960331891</v>
      </c>
      <c r="L182" s="11">
        <v>0.717425767542791</v>
      </c>
    </row>
    <row r="183" spans="1:12">
      <c r="A183" s="2">
        <v>50</v>
      </c>
      <c r="B183" s="2">
        <v>10</v>
      </c>
      <c r="C183" s="2">
        <v>0.063</v>
      </c>
      <c r="D183" s="2">
        <v>1</v>
      </c>
      <c r="E183" s="2">
        <v>1</v>
      </c>
      <c r="F183" s="2">
        <v>19.9</v>
      </c>
      <c r="G183" s="5">
        <v>0.920818198615511</v>
      </c>
      <c r="H183" s="6">
        <v>20.3</v>
      </c>
      <c r="I183" s="2">
        <v>7.9</v>
      </c>
      <c r="J183" s="6">
        <v>307.377010873774</v>
      </c>
      <c r="K183" s="10">
        <v>56.6304498827086</v>
      </c>
      <c r="L183" s="11">
        <v>0.761418984588217</v>
      </c>
    </row>
    <row r="184" spans="1:12">
      <c r="A184" s="2">
        <v>52.5</v>
      </c>
      <c r="B184" s="2">
        <v>10</v>
      </c>
      <c r="C184" s="2">
        <v>0.063</v>
      </c>
      <c r="D184" s="2">
        <v>1</v>
      </c>
      <c r="E184" s="2">
        <v>1</v>
      </c>
      <c r="F184" s="2">
        <v>19.9</v>
      </c>
      <c r="G184" s="5">
        <v>0.909893599259399</v>
      </c>
      <c r="H184" s="6">
        <v>20.4</v>
      </c>
      <c r="I184" s="2">
        <v>9.1</v>
      </c>
      <c r="J184" s="6">
        <v>352.755304913508</v>
      </c>
      <c r="K184" s="10">
        <v>59.050434400141</v>
      </c>
      <c r="L184" s="11">
        <v>0.790637134108714</v>
      </c>
    </row>
    <row r="185" spans="1:12">
      <c r="A185" s="2">
        <v>55</v>
      </c>
      <c r="B185" s="2">
        <v>10</v>
      </c>
      <c r="C185" s="2">
        <v>0.063</v>
      </c>
      <c r="D185" s="2">
        <v>1</v>
      </c>
      <c r="E185" s="2">
        <v>1</v>
      </c>
      <c r="F185" s="2">
        <v>19.9</v>
      </c>
      <c r="G185" s="5">
        <v>0.89760467536325</v>
      </c>
      <c r="H185" s="6">
        <v>20.4</v>
      </c>
      <c r="I185" s="2">
        <v>10.4</v>
      </c>
      <c r="J185" s="6">
        <v>402.472031387607</v>
      </c>
      <c r="K185" s="10">
        <v>64.8603706419946</v>
      </c>
      <c r="L185" s="11">
        <v>0.815430368408147</v>
      </c>
    </row>
    <row r="186" spans="1:12">
      <c r="A186" s="2">
        <v>57.5</v>
      </c>
      <c r="B186" s="2">
        <v>10</v>
      </c>
      <c r="C186" s="2">
        <v>0.063</v>
      </c>
      <c r="D186" s="2">
        <v>1</v>
      </c>
      <c r="E186" s="2">
        <v>1</v>
      </c>
      <c r="F186" s="2">
        <v>19.9</v>
      </c>
      <c r="G186" s="5">
        <v>0.883786850160418</v>
      </c>
      <c r="H186" s="6">
        <v>20.4</v>
      </c>
      <c r="I186" s="2">
        <v>11.5</v>
      </c>
      <c r="J186" s="6">
        <v>450.688536214236</v>
      </c>
      <c r="K186" s="10">
        <v>69.6293101651518</v>
      </c>
      <c r="L186" s="11">
        <v>0.81470254451874</v>
      </c>
    </row>
    <row r="187" spans="1:12">
      <c r="A187" s="2">
        <v>60</v>
      </c>
      <c r="B187" s="2">
        <v>10</v>
      </c>
      <c r="C187" s="2">
        <v>0.063</v>
      </c>
      <c r="D187" s="2">
        <v>1</v>
      </c>
      <c r="E187" s="2">
        <v>1</v>
      </c>
      <c r="F187" s="2">
        <v>19.9</v>
      </c>
      <c r="G187" s="5">
        <v>0.868253123396246</v>
      </c>
      <c r="H187" s="6">
        <v>20.6</v>
      </c>
      <c r="I187" s="2">
        <v>13.2</v>
      </c>
      <c r="J187" s="6">
        <v>512.370422888779</v>
      </c>
      <c r="K187" s="10">
        <v>71.3564057073366</v>
      </c>
      <c r="L187" s="11">
        <v>0.846208864981572</v>
      </c>
    </row>
    <row r="188" spans="1:12">
      <c r="A188" s="2">
        <v>62.5</v>
      </c>
      <c r="B188" s="2">
        <v>10</v>
      </c>
      <c r="C188" s="2">
        <v>0.063</v>
      </c>
      <c r="D188" s="2">
        <v>1</v>
      </c>
      <c r="E188" s="2">
        <v>1</v>
      </c>
      <c r="F188" s="2">
        <v>19.9</v>
      </c>
      <c r="G188" s="5">
        <v>0.850790029374404</v>
      </c>
      <c r="H188" s="6">
        <v>20.6</v>
      </c>
      <c r="I188" s="2">
        <v>14.8</v>
      </c>
      <c r="J188" s="6">
        <v>575.395530723641</v>
      </c>
      <c r="K188" s="10">
        <v>78.1712189840365</v>
      </c>
      <c r="L188" s="11">
        <v>0.859280555098909</v>
      </c>
    </row>
    <row r="189" spans="1:12">
      <c r="A189" s="2">
        <v>65</v>
      </c>
      <c r="B189" s="2">
        <v>10</v>
      </c>
      <c r="C189" s="2">
        <v>0.063</v>
      </c>
      <c r="D189" s="2">
        <v>1</v>
      </c>
      <c r="E189" s="2">
        <v>1</v>
      </c>
      <c r="F189" s="2">
        <v>19.9</v>
      </c>
      <c r="G189" s="5">
        <v>0.831152647810126</v>
      </c>
      <c r="H189" s="6">
        <v>20.7</v>
      </c>
      <c r="I189" s="2">
        <v>16.8</v>
      </c>
      <c r="J189" s="6">
        <v>648.739645477637</v>
      </c>
      <c r="K189" s="10">
        <v>84.1239654690564</v>
      </c>
      <c r="L189" s="11">
        <v>0.884545706388951</v>
      </c>
    </row>
    <row r="190" spans="1:12">
      <c r="A190" s="2">
        <v>67.5</v>
      </c>
      <c r="B190" s="2">
        <v>10</v>
      </c>
      <c r="C190" s="2">
        <v>0.063</v>
      </c>
      <c r="D190" s="2">
        <v>1</v>
      </c>
      <c r="E190" s="2">
        <v>1</v>
      </c>
      <c r="F190" s="2">
        <v>19.9</v>
      </c>
      <c r="G190" s="5">
        <v>0.809058400419842</v>
      </c>
      <c r="H190" s="6">
        <v>20.7</v>
      </c>
      <c r="I190" s="2">
        <v>18.9</v>
      </c>
      <c r="J190" s="6">
        <v>727.411723061184</v>
      </c>
      <c r="K190" s="10">
        <v>93.3391955326702</v>
      </c>
      <c r="L190" s="11">
        <v>0.903308628651687</v>
      </c>
    </row>
    <row r="191" spans="1:12">
      <c r="A191" s="2">
        <v>70</v>
      </c>
      <c r="B191" s="2">
        <v>10</v>
      </c>
      <c r="C191" s="2">
        <v>0.063</v>
      </c>
      <c r="D191" s="2">
        <v>1</v>
      </c>
      <c r="E191" s="2">
        <v>1</v>
      </c>
      <c r="F191" s="2">
        <v>19.9</v>
      </c>
      <c r="G191" s="5">
        <v>0.784179277129304</v>
      </c>
      <c r="H191" s="6">
        <v>20.7</v>
      </c>
      <c r="I191" s="2">
        <v>20.8</v>
      </c>
      <c r="J191" s="6">
        <v>805.634660403887</v>
      </c>
      <c r="K191" s="10">
        <v>101.785043882104</v>
      </c>
      <c r="L191" s="11">
        <v>0.903425585053306</v>
      </c>
    </row>
    <row r="192" spans="1:12">
      <c r="A192" s="2">
        <v>45</v>
      </c>
      <c r="B192" s="2">
        <v>6</v>
      </c>
      <c r="C192" s="2">
        <v>0.03</v>
      </c>
      <c r="D192" s="2">
        <v>1</v>
      </c>
      <c r="E192" s="2">
        <v>1</v>
      </c>
      <c r="F192" s="2">
        <v>22.3</v>
      </c>
      <c r="G192" s="5">
        <v>0.93913980595102</v>
      </c>
      <c r="H192" s="6">
        <v>22.7</v>
      </c>
      <c r="I192" s="2">
        <v>6.7</v>
      </c>
      <c r="J192" s="6">
        <v>126.832736234027</v>
      </c>
      <c r="K192" s="10">
        <v>29.9917099232535</v>
      </c>
      <c r="L192" s="11">
        <v>0.635947862343723</v>
      </c>
    </row>
    <row r="193" spans="1:12">
      <c r="A193" s="2">
        <v>47.5</v>
      </c>
      <c r="B193" s="2">
        <v>6</v>
      </c>
      <c r="C193" s="2">
        <v>0.03</v>
      </c>
      <c r="D193" s="2">
        <v>1</v>
      </c>
      <c r="E193" s="2">
        <v>1</v>
      </c>
      <c r="F193" s="2">
        <v>22.4</v>
      </c>
      <c r="G193" s="5">
        <v>0.930523923822277</v>
      </c>
      <c r="H193" s="6">
        <v>22.7</v>
      </c>
      <c r="I193" s="2">
        <v>7.8</v>
      </c>
      <c r="J193" s="6">
        <v>148.216227548166</v>
      </c>
      <c r="K193" s="10">
        <v>35.3511335663347</v>
      </c>
      <c r="L193" s="11">
        <v>0.665456699746098</v>
      </c>
    </row>
    <row r="194" spans="1:12">
      <c r="A194" s="2">
        <v>50</v>
      </c>
      <c r="B194" s="2">
        <v>6</v>
      </c>
      <c r="C194" s="2">
        <v>0.03</v>
      </c>
      <c r="D194" s="2">
        <v>1</v>
      </c>
      <c r="E194" s="2">
        <v>1</v>
      </c>
      <c r="F194" s="2">
        <v>22.4</v>
      </c>
      <c r="G194" s="5">
        <v>0.920818198615511</v>
      </c>
      <c r="H194" s="6">
        <v>22.6</v>
      </c>
      <c r="I194" s="2">
        <v>9.2</v>
      </c>
      <c r="J194" s="6">
        <v>173.607109825192</v>
      </c>
      <c r="K194" s="10">
        <v>43.1326728627501</v>
      </c>
      <c r="L194" s="11">
        <v>0.706367105650546</v>
      </c>
    </row>
    <row r="195" spans="1:12">
      <c r="A195" s="2">
        <v>52.5</v>
      </c>
      <c r="B195" s="2">
        <v>6</v>
      </c>
      <c r="C195" s="2">
        <v>0.03</v>
      </c>
      <c r="D195" s="2">
        <v>1</v>
      </c>
      <c r="E195" s="2">
        <v>1</v>
      </c>
      <c r="F195" s="2">
        <v>22.4</v>
      </c>
      <c r="G195" s="5">
        <v>0.909893599259399</v>
      </c>
      <c r="H195" s="6">
        <v>22.6</v>
      </c>
      <c r="I195" s="2">
        <v>10.7</v>
      </c>
      <c r="J195" s="6">
        <v>200.919065526558</v>
      </c>
      <c r="K195" s="10">
        <v>47.8722216070304</v>
      </c>
      <c r="L195" s="11">
        <v>0.740438482355239</v>
      </c>
    </row>
    <row r="196" spans="1:12">
      <c r="A196" s="2">
        <v>55</v>
      </c>
      <c r="B196" s="2">
        <v>6</v>
      </c>
      <c r="C196" s="2">
        <v>0.03</v>
      </c>
      <c r="D196" s="2">
        <v>1</v>
      </c>
      <c r="E196" s="2">
        <v>1</v>
      </c>
      <c r="F196" s="2">
        <v>22.4</v>
      </c>
      <c r="G196" s="5">
        <v>0.89760467536325</v>
      </c>
      <c r="H196" s="6">
        <v>22.6</v>
      </c>
      <c r="I196" s="2">
        <v>12.7</v>
      </c>
      <c r="J196" s="6">
        <v>234.079759043484</v>
      </c>
      <c r="K196" s="10">
        <v>54.6600910105621</v>
      </c>
      <c r="L196" s="11">
        <v>0.793086343439194</v>
      </c>
    </row>
    <row r="197" spans="1:12">
      <c r="A197" s="2">
        <v>57.5</v>
      </c>
      <c r="B197" s="2">
        <v>6</v>
      </c>
      <c r="C197" s="2">
        <v>0.03</v>
      </c>
      <c r="D197" s="2">
        <v>1</v>
      </c>
      <c r="E197" s="2">
        <v>1</v>
      </c>
      <c r="F197" s="2">
        <v>22.5</v>
      </c>
      <c r="G197" s="5">
        <v>0.883786850160418</v>
      </c>
      <c r="H197" s="6">
        <v>22.6</v>
      </c>
      <c r="I197" s="2">
        <v>14.3</v>
      </c>
      <c r="J197" s="6">
        <v>264.993578317305</v>
      </c>
      <c r="K197" s="10">
        <v>68.5988463683168</v>
      </c>
      <c r="L197" s="11">
        <v>0.806852869101149</v>
      </c>
    </row>
    <row r="198" spans="1:12">
      <c r="A198" s="2">
        <v>60</v>
      </c>
      <c r="B198" s="2">
        <v>6</v>
      </c>
      <c r="C198" s="2">
        <v>0.03</v>
      </c>
      <c r="D198" s="2">
        <v>1</v>
      </c>
      <c r="E198" s="2">
        <v>1</v>
      </c>
      <c r="F198" s="2">
        <v>22.5</v>
      </c>
      <c r="G198" s="5">
        <v>0.868253123396246</v>
      </c>
      <c r="H198" s="6">
        <v>22.6</v>
      </c>
      <c r="I198" s="2">
        <v>16.6</v>
      </c>
      <c r="J198" s="6">
        <v>303.800158209585</v>
      </c>
      <c r="K198" s="10">
        <v>78.0289418728553</v>
      </c>
      <c r="L198" s="11">
        <v>0.84727458839929</v>
      </c>
    </row>
    <row r="199" spans="1:12">
      <c r="A199" s="2">
        <v>62.5</v>
      </c>
      <c r="B199" s="2">
        <v>6</v>
      </c>
      <c r="C199" s="2">
        <v>0.03</v>
      </c>
      <c r="D199" s="2">
        <v>1</v>
      </c>
      <c r="E199" s="2">
        <v>1</v>
      </c>
      <c r="F199" s="2">
        <v>22.5</v>
      </c>
      <c r="G199" s="5">
        <v>0.850790029374404</v>
      </c>
      <c r="H199" s="6">
        <v>22.6</v>
      </c>
      <c r="I199" s="2">
        <v>18.5</v>
      </c>
      <c r="J199" s="6">
        <v>340.593269181061</v>
      </c>
      <c r="K199" s="10">
        <v>85.4767833452394</v>
      </c>
      <c r="L199" s="11">
        <v>0.855169035758893</v>
      </c>
    </row>
    <row r="200" spans="1:12">
      <c r="A200" s="2">
        <v>65</v>
      </c>
      <c r="B200" s="2">
        <v>6</v>
      </c>
      <c r="C200" s="2">
        <v>0.03</v>
      </c>
      <c r="D200" s="2">
        <v>1</v>
      </c>
      <c r="E200" s="2">
        <v>1</v>
      </c>
      <c r="F200" s="2">
        <v>22.4</v>
      </c>
      <c r="G200" s="5">
        <v>0.831152647810126</v>
      </c>
      <c r="H200" s="6">
        <v>22.7</v>
      </c>
      <c r="I200" s="2">
        <v>21</v>
      </c>
      <c r="J200" s="6">
        <v>384.445495719103</v>
      </c>
      <c r="K200" s="10">
        <v>77.1899073309962</v>
      </c>
      <c r="L200" s="11">
        <v>0.880301831270819</v>
      </c>
    </row>
    <row r="201" spans="1:12">
      <c r="A201" s="2">
        <v>67.5</v>
      </c>
      <c r="B201" s="2">
        <v>6</v>
      </c>
      <c r="C201" s="2">
        <v>0.03</v>
      </c>
      <c r="D201" s="2">
        <v>1</v>
      </c>
      <c r="E201" s="2">
        <v>1</v>
      </c>
      <c r="F201" s="2">
        <v>22.4</v>
      </c>
      <c r="G201" s="5">
        <v>0.809058400419842</v>
      </c>
      <c r="H201" s="6">
        <v>22.7</v>
      </c>
      <c r="I201" s="2">
        <v>23</v>
      </c>
      <c r="J201" s="6">
        <v>425.802027709774</v>
      </c>
      <c r="K201" s="10">
        <v>83.9796919280629</v>
      </c>
      <c r="L201" s="11">
        <v>0.875181459399745</v>
      </c>
    </row>
    <row r="202" spans="1:12">
      <c r="A202" s="2">
        <v>70</v>
      </c>
      <c r="B202" s="2">
        <v>6</v>
      </c>
      <c r="C202" s="2">
        <v>0.03</v>
      </c>
      <c r="D202" s="2">
        <v>1</v>
      </c>
      <c r="E202" s="2">
        <v>1</v>
      </c>
      <c r="F202" s="2">
        <v>22.4</v>
      </c>
      <c r="G202" s="5">
        <v>0.784179277129304</v>
      </c>
      <c r="H202" s="6">
        <v>22.6</v>
      </c>
      <c r="I202" s="2">
        <v>26.1</v>
      </c>
      <c r="J202" s="6">
        <v>479.378571583597</v>
      </c>
      <c r="K202" s="10">
        <v>105.27177845551</v>
      </c>
      <c r="L202" s="11">
        <v>0.902385625265994</v>
      </c>
    </row>
    <row r="203" spans="1:12">
      <c r="A203" s="2">
        <v>45</v>
      </c>
      <c r="B203" s="2">
        <v>7.9</v>
      </c>
      <c r="C203" s="2">
        <v>0.03</v>
      </c>
      <c r="D203" s="2">
        <v>1</v>
      </c>
      <c r="E203" s="2">
        <v>1</v>
      </c>
      <c r="F203" s="2">
        <v>22.3</v>
      </c>
      <c r="G203" s="5">
        <v>0.93913980595102</v>
      </c>
      <c r="H203" s="6">
        <v>22.5</v>
      </c>
      <c r="I203" s="2">
        <v>8.9</v>
      </c>
      <c r="J203" s="6">
        <v>168.187640939601</v>
      </c>
      <c r="K203" s="10">
        <v>52.3620870952376</v>
      </c>
      <c r="L203" s="11">
        <v>0.64138592012696</v>
      </c>
    </row>
    <row r="204" spans="1:12">
      <c r="A204" s="2">
        <v>47.5</v>
      </c>
      <c r="B204" s="2">
        <v>7.9</v>
      </c>
      <c r="C204" s="2">
        <v>0.03</v>
      </c>
      <c r="D204" s="2">
        <v>1</v>
      </c>
      <c r="E204" s="2">
        <v>1</v>
      </c>
      <c r="F204" s="2">
        <v>22.4</v>
      </c>
      <c r="G204" s="5">
        <v>0.930523923822277</v>
      </c>
      <c r="H204" s="6">
        <v>22.5</v>
      </c>
      <c r="I204" s="2">
        <v>10.3</v>
      </c>
      <c r="J204" s="6">
        <v>195.898620437311</v>
      </c>
      <c r="K204" s="10">
        <v>66.5950333648152</v>
      </c>
      <c r="L204" s="11">
        <v>0.667184124179565</v>
      </c>
    </row>
    <row r="205" spans="1:12">
      <c r="A205" s="2">
        <v>50</v>
      </c>
      <c r="B205" s="2">
        <v>7.9</v>
      </c>
      <c r="C205" s="2">
        <v>0.03</v>
      </c>
      <c r="D205" s="2">
        <v>1</v>
      </c>
      <c r="E205" s="2">
        <v>1</v>
      </c>
      <c r="F205" s="2">
        <v>22.4</v>
      </c>
      <c r="G205" s="5">
        <v>0.920818198615511</v>
      </c>
      <c r="H205" s="6">
        <v>22.5</v>
      </c>
      <c r="I205" s="2">
        <v>12.4</v>
      </c>
      <c r="J205" s="6">
        <v>231.430215303027</v>
      </c>
      <c r="K205" s="10">
        <v>76.9985265295454</v>
      </c>
      <c r="L205" s="11">
        <v>0.722966747673812</v>
      </c>
    </row>
    <row r="206" spans="1:12">
      <c r="A206" s="2">
        <v>52.5</v>
      </c>
      <c r="B206" s="2">
        <v>7.9</v>
      </c>
      <c r="C206" s="2">
        <v>0.03</v>
      </c>
      <c r="D206" s="2">
        <v>1</v>
      </c>
      <c r="E206" s="2">
        <v>1</v>
      </c>
      <c r="F206" s="2">
        <v>22.4</v>
      </c>
      <c r="G206" s="5">
        <v>0.909893599259399</v>
      </c>
      <c r="H206" s="6">
        <v>22.5</v>
      </c>
      <c r="I206" s="2">
        <v>14.3</v>
      </c>
      <c r="J206" s="6">
        <v>266.705426283201</v>
      </c>
      <c r="K206" s="10">
        <v>86.0013736549472</v>
      </c>
      <c r="L206" s="11">
        <v>0.751442098596207</v>
      </c>
    </row>
    <row r="207" spans="1:12">
      <c r="A207" s="2">
        <v>55</v>
      </c>
      <c r="B207" s="2">
        <v>7.9</v>
      </c>
      <c r="C207" s="2">
        <v>0.03</v>
      </c>
      <c r="D207" s="2">
        <v>1</v>
      </c>
      <c r="E207" s="2">
        <v>1</v>
      </c>
      <c r="F207" s="2">
        <v>22.4</v>
      </c>
      <c r="G207" s="5">
        <v>0.89760467536325</v>
      </c>
      <c r="H207" s="6">
        <v>22.7</v>
      </c>
      <c r="I207" s="2">
        <v>16.4</v>
      </c>
      <c r="J207" s="6">
        <v>305.041707193264</v>
      </c>
      <c r="K207" s="10">
        <v>76.5287109138779</v>
      </c>
      <c r="L207" s="11">
        <v>0.777954765197652</v>
      </c>
    </row>
    <row r="208" spans="1:12">
      <c r="A208" s="2">
        <v>57.5</v>
      </c>
      <c r="B208" s="2">
        <v>7.9</v>
      </c>
      <c r="C208" s="2">
        <v>0.03</v>
      </c>
      <c r="D208" s="2">
        <v>1</v>
      </c>
      <c r="E208" s="2">
        <v>1</v>
      </c>
      <c r="F208" s="2">
        <v>22.4</v>
      </c>
      <c r="G208" s="5">
        <v>0.883786850160418</v>
      </c>
      <c r="H208" s="6">
        <v>22.7</v>
      </c>
      <c r="I208" s="2">
        <v>18.5</v>
      </c>
      <c r="J208" s="6">
        <v>345.686385150953</v>
      </c>
      <c r="K208" s="10">
        <v>85.1146790638463</v>
      </c>
      <c r="L208" s="11">
        <v>0.792909292476399</v>
      </c>
    </row>
    <row r="209" spans="1:12">
      <c r="A209" s="2">
        <v>60</v>
      </c>
      <c r="B209" s="2">
        <v>7.9</v>
      </c>
      <c r="C209" s="2">
        <v>0.03</v>
      </c>
      <c r="D209" s="2">
        <v>1</v>
      </c>
      <c r="E209" s="2">
        <v>1</v>
      </c>
      <c r="F209" s="2">
        <v>22.4</v>
      </c>
      <c r="G209" s="5">
        <v>0.868253123396246</v>
      </c>
      <c r="H209" s="6">
        <v>22.7</v>
      </c>
      <c r="I209" s="2">
        <v>21.2</v>
      </c>
      <c r="J209" s="6">
        <v>393.791506018293</v>
      </c>
      <c r="K209" s="10">
        <v>97.8670741254784</v>
      </c>
      <c r="L209" s="11">
        <v>0.821949522715622</v>
      </c>
    </row>
    <row r="210" spans="1:12">
      <c r="A210" s="2">
        <v>62.5</v>
      </c>
      <c r="B210" s="2">
        <v>7.9</v>
      </c>
      <c r="C210" s="2">
        <v>0.03</v>
      </c>
      <c r="D210" s="2">
        <v>1</v>
      </c>
      <c r="E210" s="2">
        <v>1</v>
      </c>
      <c r="F210" s="2">
        <v>22.4</v>
      </c>
      <c r="G210" s="5">
        <v>0.850790029374404</v>
      </c>
      <c r="H210" s="6">
        <v>22.8</v>
      </c>
      <c r="I210" s="2">
        <v>23.9</v>
      </c>
      <c r="J210" s="6">
        <v>443.821167480496</v>
      </c>
      <c r="K210" s="10">
        <v>103.969377427118</v>
      </c>
      <c r="L210" s="11">
        <v>0.839343652762806</v>
      </c>
    </row>
    <row r="211" spans="1:12">
      <c r="A211" s="2">
        <v>65</v>
      </c>
      <c r="B211" s="2">
        <v>7.9</v>
      </c>
      <c r="C211" s="2">
        <v>0.03</v>
      </c>
      <c r="D211" s="2">
        <v>1</v>
      </c>
      <c r="E211" s="2">
        <v>1</v>
      </c>
      <c r="F211" s="2">
        <v>22.4</v>
      </c>
      <c r="G211" s="5">
        <v>0.831152647810126</v>
      </c>
      <c r="H211" s="6">
        <v>22.8</v>
      </c>
      <c r="I211" s="2">
        <v>27.2</v>
      </c>
      <c r="J211" s="6">
        <v>501.8629046474</v>
      </c>
      <c r="K211" s="10">
        <v>122.141996590043</v>
      </c>
      <c r="L211" s="11">
        <v>0.866111595583053</v>
      </c>
    </row>
    <row r="212" spans="1:12">
      <c r="A212" s="2">
        <v>67.5</v>
      </c>
      <c r="B212" s="2">
        <v>7.9</v>
      </c>
      <c r="C212" s="2">
        <v>0.03</v>
      </c>
      <c r="D212" s="2">
        <v>1</v>
      </c>
      <c r="E212" s="2">
        <v>1</v>
      </c>
      <c r="F212" s="2">
        <v>22.4</v>
      </c>
      <c r="G212" s="5">
        <v>0.809058400419842</v>
      </c>
      <c r="H212" s="6">
        <v>22.8</v>
      </c>
      <c r="I212" s="2">
        <v>30.5</v>
      </c>
      <c r="J212" s="6">
        <v>562.395093594347</v>
      </c>
      <c r="K212" s="10">
        <v>142.472589118432</v>
      </c>
      <c r="L212" s="11">
        <v>0.881581527482669</v>
      </c>
    </row>
    <row r="213" spans="1:12">
      <c r="A213" s="2">
        <v>70</v>
      </c>
      <c r="B213" s="2">
        <v>7.9</v>
      </c>
      <c r="C213" s="2">
        <v>0.03</v>
      </c>
      <c r="D213" s="2">
        <v>1</v>
      </c>
      <c r="E213" s="2">
        <v>1</v>
      </c>
      <c r="F213" s="2">
        <v>22.4</v>
      </c>
      <c r="G213" s="5">
        <v>0.784179277129304</v>
      </c>
      <c r="H213" s="6">
        <v>22.9</v>
      </c>
      <c r="I213" s="2">
        <v>33</v>
      </c>
      <c r="J213" s="6">
        <v>618.092966993331</v>
      </c>
      <c r="K213" s="10">
        <v>147.911343875984</v>
      </c>
      <c r="L213" s="11">
        <v>0.866949082034621</v>
      </c>
    </row>
    <row r="214" spans="1:12">
      <c r="A214" s="2">
        <v>45</v>
      </c>
      <c r="B214" s="2">
        <v>10</v>
      </c>
      <c r="C214" s="2">
        <v>0.03</v>
      </c>
      <c r="D214" s="2">
        <v>1</v>
      </c>
      <c r="E214" s="2">
        <v>1</v>
      </c>
      <c r="F214" s="2">
        <v>22.2</v>
      </c>
      <c r="G214" s="5">
        <v>0.93913980595102</v>
      </c>
      <c r="H214" s="6">
        <v>22.7</v>
      </c>
      <c r="I214" s="2">
        <v>11.6</v>
      </c>
      <c r="J214" s="6">
        <v>215.337546501156</v>
      </c>
      <c r="K214" s="10">
        <v>62.5698653087531</v>
      </c>
      <c r="L214" s="11">
        <v>0.660626436106315</v>
      </c>
    </row>
    <row r="215" spans="1:12">
      <c r="A215" s="2">
        <v>47.5</v>
      </c>
      <c r="B215" s="2">
        <v>10</v>
      </c>
      <c r="C215" s="2">
        <v>0.03</v>
      </c>
      <c r="D215" s="2">
        <v>1</v>
      </c>
      <c r="E215" s="2">
        <v>1</v>
      </c>
      <c r="F215" s="2">
        <v>22.2</v>
      </c>
      <c r="G215" s="5">
        <v>0.930523923822277</v>
      </c>
      <c r="H215" s="6">
        <v>22.7</v>
      </c>
      <c r="I215" s="2">
        <v>13.3</v>
      </c>
      <c r="J215" s="6">
        <v>249.76142091361</v>
      </c>
      <c r="K215" s="10">
        <v>69.0221948180559</v>
      </c>
      <c r="L215" s="11">
        <v>0.680813392817161</v>
      </c>
    </row>
    <row r="216" spans="1:12">
      <c r="A216" s="2">
        <v>50</v>
      </c>
      <c r="B216" s="2">
        <v>10</v>
      </c>
      <c r="C216" s="2">
        <v>0.03</v>
      </c>
      <c r="D216" s="2">
        <v>1</v>
      </c>
      <c r="E216" s="2">
        <v>1</v>
      </c>
      <c r="F216" s="2">
        <v>22.2</v>
      </c>
      <c r="G216" s="5">
        <v>0.920818198615511</v>
      </c>
      <c r="H216" s="6">
        <v>22.7</v>
      </c>
      <c r="I216" s="2">
        <v>15.6</v>
      </c>
      <c r="J216" s="6">
        <v>291.47763499309</v>
      </c>
      <c r="K216" s="10">
        <v>79.5854304437072</v>
      </c>
      <c r="L216" s="11">
        <v>0.718767840776605</v>
      </c>
    </row>
    <row r="217" spans="1:12">
      <c r="A217" s="2">
        <v>52.5</v>
      </c>
      <c r="B217" s="2">
        <v>10</v>
      </c>
      <c r="C217" s="2">
        <v>0.03</v>
      </c>
      <c r="D217" s="2">
        <v>1</v>
      </c>
      <c r="E217" s="2">
        <v>1</v>
      </c>
      <c r="F217" s="2">
        <v>22.2</v>
      </c>
      <c r="G217" s="5">
        <v>0.909893599259399</v>
      </c>
      <c r="H217" s="6">
        <v>22.7</v>
      </c>
      <c r="I217" s="2">
        <v>18.3</v>
      </c>
      <c r="J217" s="6">
        <v>338.822953697779</v>
      </c>
      <c r="K217" s="10">
        <v>93.6345726790462</v>
      </c>
      <c r="L217" s="11">
        <v>0.759936688121127</v>
      </c>
    </row>
    <row r="218" spans="1:12">
      <c r="A218" s="2">
        <v>55</v>
      </c>
      <c r="B218" s="2">
        <v>10</v>
      </c>
      <c r="C218" s="2">
        <v>0.03</v>
      </c>
      <c r="D218" s="2">
        <v>1</v>
      </c>
      <c r="E218" s="2">
        <v>1</v>
      </c>
      <c r="F218" s="2">
        <v>22.2</v>
      </c>
      <c r="G218" s="5">
        <v>0.89760467536325</v>
      </c>
      <c r="H218" s="6">
        <v>22.7</v>
      </c>
      <c r="I218" s="2">
        <v>20.6</v>
      </c>
      <c r="J218" s="6">
        <v>384.675024928182</v>
      </c>
      <c r="K218" s="10">
        <v>105.032166329259</v>
      </c>
      <c r="L218" s="11">
        <v>0.771977795660157</v>
      </c>
    </row>
    <row r="219" spans="1:12">
      <c r="A219" s="2">
        <v>57.5</v>
      </c>
      <c r="B219" s="2">
        <v>10</v>
      </c>
      <c r="C219" s="2">
        <v>0.03</v>
      </c>
      <c r="D219" s="2">
        <v>1</v>
      </c>
      <c r="E219" s="2">
        <v>1</v>
      </c>
      <c r="F219" s="2">
        <v>22.2</v>
      </c>
      <c r="G219" s="5">
        <v>0.883786850160418</v>
      </c>
      <c r="H219" s="6">
        <v>22.7</v>
      </c>
      <c r="I219" s="2">
        <v>23.1</v>
      </c>
      <c r="J219" s="6">
        <v>434.681803461122</v>
      </c>
      <c r="K219" s="10">
        <v>118.686081816605</v>
      </c>
      <c r="L219" s="11">
        <v>0.782151442075773</v>
      </c>
    </row>
    <row r="220" spans="1:12">
      <c r="A220" s="2">
        <v>60</v>
      </c>
      <c r="B220" s="2">
        <v>10</v>
      </c>
      <c r="C220" s="2">
        <v>0.03</v>
      </c>
      <c r="D220" s="2">
        <v>1</v>
      </c>
      <c r="E220" s="2">
        <v>1</v>
      </c>
      <c r="F220" s="2">
        <v>22.2</v>
      </c>
      <c r="G220" s="5">
        <v>0.868253123396246</v>
      </c>
      <c r="H220" s="6">
        <v>22.7</v>
      </c>
      <c r="I220" s="2">
        <v>26.2</v>
      </c>
      <c r="J220" s="6">
        <v>492.678462259442</v>
      </c>
      <c r="K220" s="10">
        <v>139.554604483403</v>
      </c>
      <c r="L220" s="11">
        <v>0.802486378356979</v>
      </c>
    </row>
    <row r="221" spans="1:12">
      <c r="A221" s="2">
        <v>62.5</v>
      </c>
      <c r="B221" s="2">
        <v>10</v>
      </c>
      <c r="C221" s="2">
        <v>0.03</v>
      </c>
      <c r="D221" s="2">
        <v>1</v>
      </c>
      <c r="E221" s="2">
        <v>1</v>
      </c>
      <c r="F221" s="2">
        <v>22.2</v>
      </c>
      <c r="G221" s="5">
        <v>0.850790029374404</v>
      </c>
      <c r="H221" s="6">
        <v>22.7</v>
      </c>
      <c r="I221" s="2">
        <v>29.5</v>
      </c>
      <c r="J221" s="6">
        <v>555.218873641945</v>
      </c>
      <c r="K221" s="10">
        <v>165.632749633921</v>
      </c>
      <c r="L221" s="11">
        <v>0.818318306014218</v>
      </c>
    </row>
    <row r="222" spans="1:12">
      <c r="A222" s="2">
        <v>45</v>
      </c>
      <c r="B222" s="2">
        <v>5</v>
      </c>
      <c r="C222" s="2">
        <v>0.15</v>
      </c>
      <c r="D222" s="2">
        <v>1</v>
      </c>
      <c r="E222" s="2">
        <v>1</v>
      </c>
      <c r="F222" s="2">
        <v>23.2</v>
      </c>
      <c r="G222" s="5">
        <v>0.93913980595102</v>
      </c>
      <c r="H222" s="6">
        <v>23.3</v>
      </c>
      <c r="I222" s="2">
        <v>0.900000000000002</v>
      </c>
      <c r="J222" s="6">
        <v>94.90042659491</v>
      </c>
      <c r="K222" s="10">
        <v>24.3745095925028</v>
      </c>
      <c r="L222" s="11">
        <v>0.513055740830009</v>
      </c>
    </row>
    <row r="223" spans="1:12">
      <c r="A223" s="2">
        <v>47.5</v>
      </c>
      <c r="B223" s="2">
        <v>5</v>
      </c>
      <c r="C223" s="2">
        <v>0.15</v>
      </c>
      <c r="D223" s="2">
        <v>1</v>
      </c>
      <c r="E223" s="2">
        <v>1</v>
      </c>
      <c r="F223" s="2">
        <v>23.2</v>
      </c>
      <c r="G223" s="5">
        <v>0.930523923822277</v>
      </c>
      <c r="H223" s="6">
        <v>23.3</v>
      </c>
      <c r="I223" s="2">
        <v>1.1</v>
      </c>
      <c r="J223" s="6">
        <v>113.486279572597</v>
      </c>
      <c r="K223" s="10">
        <v>26.7588727324431</v>
      </c>
      <c r="L223" s="11">
        <v>0.563626622847164</v>
      </c>
    </row>
    <row r="224" spans="1:12">
      <c r="A224" s="2">
        <v>50</v>
      </c>
      <c r="B224" s="2">
        <v>5</v>
      </c>
      <c r="C224" s="2">
        <v>0.15</v>
      </c>
      <c r="D224" s="2">
        <v>1</v>
      </c>
      <c r="E224" s="2">
        <v>1</v>
      </c>
      <c r="F224" s="2">
        <v>23.2</v>
      </c>
      <c r="G224" s="5">
        <v>0.920818198615511</v>
      </c>
      <c r="H224" s="6">
        <v>23.3</v>
      </c>
      <c r="I224" s="2">
        <v>1.3</v>
      </c>
      <c r="J224" s="6">
        <v>132.984382459523</v>
      </c>
      <c r="K224" s="10">
        <v>29.0118704959984</v>
      </c>
      <c r="L224" s="11">
        <v>0.599553649699157</v>
      </c>
    </row>
    <row r="225" spans="1:12">
      <c r="A225" s="2">
        <v>52.5</v>
      </c>
      <c r="B225" s="2">
        <v>5</v>
      </c>
      <c r="C225" s="2">
        <v>0.15</v>
      </c>
      <c r="D225" s="2">
        <v>1</v>
      </c>
      <c r="E225" s="2">
        <v>1</v>
      </c>
      <c r="F225" s="2">
        <v>23.2</v>
      </c>
      <c r="G225" s="5">
        <v>0.909893599259399</v>
      </c>
      <c r="H225" s="6">
        <v>23.3</v>
      </c>
      <c r="I225" s="2">
        <v>1.6</v>
      </c>
      <c r="J225" s="6">
        <v>158.031912727404</v>
      </c>
      <c r="K225" s="10">
        <v>32.2019653519996</v>
      </c>
      <c r="L225" s="11">
        <v>0.665066807432451</v>
      </c>
    </row>
    <row r="226" spans="1:12">
      <c r="A226" s="2">
        <v>55</v>
      </c>
      <c r="B226" s="2">
        <v>5</v>
      </c>
      <c r="C226" s="2">
        <v>0.15</v>
      </c>
      <c r="D226" s="2">
        <v>1</v>
      </c>
      <c r="E226" s="2">
        <v>1</v>
      </c>
      <c r="F226" s="2">
        <v>23.2</v>
      </c>
      <c r="G226" s="5">
        <v>0.89760467536325</v>
      </c>
      <c r="H226" s="6">
        <v>23.3</v>
      </c>
      <c r="I226" s="2">
        <v>2</v>
      </c>
      <c r="J226" s="6">
        <v>188.713575801594</v>
      </c>
      <c r="K226" s="10">
        <v>36.199289007219</v>
      </c>
      <c r="L226" s="11">
        <v>0.750213500859063</v>
      </c>
    </row>
    <row r="227" spans="1:12">
      <c r="A227" s="2">
        <v>57.5</v>
      </c>
      <c r="B227" s="2">
        <v>5</v>
      </c>
      <c r="C227" s="2">
        <v>0.15</v>
      </c>
      <c r="D227" s="2">
        <v>1</v>
      </c>
      <c r="E227" s="2">
        <v>1</v>
      </c>
      <c r="F227" s="2">
        <v>23.2</v>
      </c>
      <c r="G227" s="5">
        <v>0.883786850160418</v>
      </c>
      <c r="H227" s="6">
        <v>23.3</v>
      </c>
      <c r="I227" s="2">
        <v>2.3</v>
      </c>
      <c r="J227" s="6">
        <v>216.004442149582</v>
      </c>
      <c r="K227" s="10">
        <v>39.0590269227634</v>
      </c>
      <c r="L227" s="11">
        <v>0.779511153751303</v>
      </c>
    </row>
    <row r="228" spans="1:12">
      <c r="A228" s="2">
        <v>60</v>
      </c>
      <c r="B228" s="2">
        <v>5</v>
      </c>
      <c r="C228" s="2">
        <v>0.15</v>
      </c>
      <c r="D228" s="2">
        <v>1</v>
      </c>
      <c r="E228" s="2">
        <v>1</v>
      </c>
      <c r="F228" s="2">
        <v>23.2</v>
      </c>
      <c r="G228" s="5">
        <v>0.868253123396246</v>
      </c>
      <c r="H228" s="6">
        <v>23.3</v>
      </c>
      <c r="I228" s="2">
        <v>2.7</v>
      </c>
      <c r="J228" s="6">
        <v>249.113819722089</v>
      </c>
      <c r="K228" s="10">
        <v>42.7294858848944</v>
      </c>
      <c r="L228" s="11">
        <v>0.827778455017055</v>
      </c>
    </row>
    <row r="229" spans="1:12">
      <c r="A229" s="2">
        <v>62.5</v>
      </c>
      <c r="B229" s="2">
        <v>5</v>
      </c>
      <c r="C229" s="2">
        <v>0.15</v>
      </c>
      <c r="D229" s="2">
        <v>1</v>
      </c>
      <c r="E229" s="2">
        <v>1</v>
      </c>
      <c r="F229" s="2">
        <v>23.2</v>
      </c>
      <c r="G229" s="5">
        <v>0.850790029374404</v>
      </c>
      <c r="H229" s="6">
        <v>23.3</v>
      </c>
      <c r="I229" s="2">
        <v>3</v>
      </c>
      <c r="J229" s="6">
        <v>279.027036321991</v>
      </c>
      <c r="K229" s="10">
        <v>45.4336396058801</v>
      </c>
      <c r="L229" s="11">
        <v>0.832978599976915</v>
      </c>
    </row>
    <row r="230" spans="1:12">
      <c r="A230" s="2">
        <v>65</v>
      </c>
      <c r="B230" s="2">
        <v>5</v>
      </c>
      <c r="C230" s="2">
        <v>0.15</v>
      </c>
      <c r="D230" s="2">
        <v>1</v>
      </c>
      <c r="E230" s="2">
        <v>1</v>
      </c>
      <c r="F230" s="2">
        <v>23.2</v>
      </c>
      <c r="G230" s="5">
        <v>0.831152647810126</v>
      </c>
      <c r="H230" s="6">
        <v>23.4</v>
      </c>
      <c r="I230" s="2">
        <v>3.4</v>
      </c>
      <c r="J230" s="6">
        <v>314.820635036515</v>
      </c>
      <c r="K230" s="10">
        <v>43.3290060660557</v>
      </c>
      <c r="L230" s="11">
        <v>0.856094302203649</v>
      </c>
    </row>
    <row r="231" spans="1:12">
      <c r="A231" s="2">
        <v>67.5</v>
      </c>
      <c r="B231" s="2">
        <v>5</v>
      </c>
      <c r="C231" s="2">
        <v>0.15</v>
      </c>
      <c r="D231" s="2">
        <v>1</v>
      </c>
      <c r="E231" s="2">
        <v>1</v>
      </c>
      <c r="F231" s="2">
        <v>23.2</v>
      </c>
      <c r="G231" s="5">
        <v>0.809058400419842</v>
      </c>
      <c r="H231" s="6">
        <v>23.4</v>
      </c>
      <c r="I231" s="2">
        <v>3.9</v>
      </c>
      <c r="J231" s="6">
        <v>356.89374985694</v>
      </c>
      <c r="K231" s="10">
        <v>47.126556312686</v>
      </c>
      <c r="L231" s="11">
        <v>0.891381011117207</v>
      </c>
    </row>
    <row r="232" spans="1:12">
      <c r="A232" s="2">
        <v>70</v>
      </c>
      <c r="B232" s="2">
        <v>5</v>
      </c>
      <c r="C232" s="2">
        <v>0.15</v>
      </c>
      <c r="D232" s="2">
        <v>1</v>
      </c>
      <c r="E232" s="2">
        <v>1</v>
      </c>
      <c r="F232" s="2">
        <v>23.2</v>
      </c>
      <c r="G232" s="5">
        <v>0.784179277129304</v>
      </c>
      <c r="H232" s="6">
        <v>23.4</v>
      </c>
      <c r="I232" s="2">
        <v>4.2</v>
      </c>
      <c r="J232" s="6">
        <v>391.545469852931</v>
      </c>
      <c r="K232" s="10">
        <v>49.5091900953193</v>
      </c>
      <c r="L232" s="11">
        <v>0.872359587946335</v>
      </c>
    </row>
    <row r="233" spans="1:12">
      <c r="A233" s="2">
        <v>45</v>
      </c>
      <c r="B233" s="2">
        <v>6.4</v>
      </c>
      <c r="C233" s="2">
        <v>0.15</v>
      </c>
      <c r="D233" s="2">
        <v>1</v>
      </c>
      <c r="E233" s="2">
        <v>1</v>
      </c>
      <c r="F233" s="2">
        <v>23.5</v>
      </c>
      <c r="G233" s="5">
        <v>0.93913980595102</v>
      </c>
      <c r="H233" s="6">
        <v>23.6</v>
      </c>
      <c r="I233" s="2">
        <v>1</v>
      </c>
      <c r="J233" s="6">
        <v>113.94732370888</v>
      </c>
      <c r="K233" s="10">
        <v>29.732487313651</v>
      </c>
      <c r="L233" s="11">
        <v>0.44557822437468</v>
      </c>
    </row>
    <row r="234" spans="1:12">
      <c r="A234" s="2">
        <v>47.5</v>
      </c>
      <c r="B234" s="2">
        <v>6.4</v>
      </c>
      <c r="C234" s="2">
        <v>0.15</v>
      </c>
      <c r="D234" s="2">
        <v>1</v>
      </c>
      <c r="E234" s="2">
        <v>1</v>
      </c>
      <c r="F234" s="2">
        <v>23.5</v>
      </c>
      <c r="G234" s="5">
        <v>0.930523923822277</v>
      </c>
      <c r="H234" s="6">
        <v>23.6</v>
      </c>
      <c r="I234" s="2">
        <v>1.6</v>
      </c>
      <c r="J234" s="6">
        <v>153.418787347729</v>
      </c>
      <c r="K234" s="10">
        <v>37.23085985788</v>
      </c>
      <c r="L234" s="11">
        <v>0.640796092387775</v>
      </c>
    </row>
    <row r="235" spans="1:12">
      <c r="A235" s="2">
        <v>50</v>
      </c>
      <c r="B235" s="2">
        <v>6.4</v>
      </c>
      <c r="C235" s="2">
        <v>0.15</v>
      </c>
      <c r="D235" s="2">
        <v>1</v>
      </c>
      <c r="E235" s="2">
        <v>1</v>
      </c>
      <c r="F235" s="2">
        <v>23.5</v>
      </c>
      <c r="G235" s="5">
        <v>0.920818198615511</v>
      </c>
      <c r="H235" s="6">
        <v>23.6</v>
      </c>
      <c r="I235" s="2">
        <v>2</v>
      </c>
      <c r="J235" s="6">
        <v>184.943653919854</v>
      </c>
      <c r="K235" s="10">
        <v>41.6976555169973</v>
      </c>
      <c r="L235" s="11">
        <v>0.72096619498215</v>
      </c>
    </row>
    <row r="236" spans="1:12">
      <c r="A236" s="2">
        <v>52.5</v>
      </c>
      <c r="B236" s="2">
        <v>6.4</v>
      </c>
      <c r="C236" s="2">
        <v>0.15</v>
      </c>
      <c r="D236" s="2">
        <v>1</v>
      </c>
      <c r="E236" s="2">
        <v>1</v>
      </c>
      <c r="F236" s="2">
        <v>23.5</v>
      </c>
      <c r="G236" s="5">
        <v>0.909893599259399</v>
      </c>
      <c r="H236" s="6">
        <v>23.6</v>
      </c>
      <c r="I236" s="2">
        <v>2.3</v>
      </c>
      <c r="J236" s="6">
        <v>213.181499052829</v>
      </c>
      <c r="K236" s="10">
        <v>44.7781219766418</v>
      </c>
      <c r="L236" s="11">
        <v>0.747261297862744</v>
      </c>
    </row>
    <row r="237" spans="1:12">
      <c r="A237" s="2">
        <v>55</v>
      </c>
      <c r="B237" s="2">
        <v>6.4</v>
      </c>
      <c r="C237" s="2">
        <v>0.15</v>
      </c>
      <c r="D237" s="2">
        <v>1</v>
      </c>
      <c r="E237" s="2">
        <v>1</v>
      </c>
      <c r="F237" s="2">
        <v>23.5</v>
      </c>
      <c r="G237" s="5">
        <v>0.89760467536325</v>
      </c>
      <c r="H237" s="6">
        <v>23.6</v>
      </c>
      <c r="I237" s="2">
        <v>2.6</v>
      </c>
      <c r="J237" s="6">
        <v>242.798069583318</v>
      </c>
      <c r="K237" s="10">
        <v>47.7707451843433</v>
      </c>
      <c r="L237" s="11">
        <v>0.762301463361899</v>
      </c>
    </row>
    <row r="238" spans="1:12">
      <c r="A238" s="2">
        <v>57.5</v>
      </c>
      <c r="B238" s="2">
        <v>6.4</v>
      </c>
      <c r="C238" s="2">
        <v>0.15</v>
      </c>
      <c r="D238" s="2">
        <v>1</v>
      </c>
      <c r="E238" s="2">
        <v>1</v>
      </c>
      <c r="F238" s="2">
        <v>23.5</v>
      </c>
      <c r="G238" s="5">
        <v>0.883786850160418</v>
      </c>
      <c r="H238" s="6">
        <v>23.6</v>
      </c>
      <c r="I238" s="2">
        <v>3</v>
      </c>
      <c r="J238" s="6">
        <v>278.465448443498</v>
      </c>
      <c r="K238" s="10">
        <v>51.6969960306178</v>
      </c>
      <c r="L238" s="11">
        <v>0.794718727661422</v>
      </c>
    </row>
    <row r="239" spans="1:12">
      <c r="A239" s="2">
        <v>60</v>
      </c>
      <c r="B239" s="2">
        <v>6.4</v>
      </c>
      <c r="C239" s="2">
        <v>0.15</v>
      </c>
      <c r="D239" s="2">
        <v>1</v>
      </c>
      <c r="E239" s="2">
        <v>1</v>
      </c>
      <c r="F239" s="2">
        <v>23.4</v>
      </c>
      <c r="G239" s="5">
        <v>0.868253123396246</v>
      </c>
      <c r="H239" s="6">
        <v>23.6</v>
      </c>
      <c r="I239" s="2">
        <v>3.4</v>
      </c>
      <c r="J239" s="6">
        <v>315.747628130826</v>
      </c>
      <c r="K239" s="10">
        <v>48.9120611881007</v>
      </c>
      <c r="L239" s="11">
        <v>0.814753326362313</v>
      </c>
    </row>
    <row r="240" spans="1:12">
      <c r="A240" s="2">
        <v>62.5</v>
      </c>
      <c r="B240" s="2">
        <v>6.4</v>
      </c>
      <c r="C240" s="2">
        <v>0.15</v>
      </c>
      <c r="D240" s="2">
        <v>1</v>
      </c>
      <c r="E240" s="2">
        <v>1</v>
      </c>
      <c r="F240" s="2">
        <v>23.4</v>
      </c>
      <c r="G240" s="5">
        <v>0.850790029374404</v>
      </c>
      <c r="H240" s="6">
        <v>23.6</v>
      </c>
      <c r="I240" s="2">
        <v>3.7</v>
      </c>
      <c r="J240" s="6">
        <v>350.215242217146</v>
      </c>
      <c r="K240" s="10">
        <v>51.4990492143624</v>
      </c>
      <c r="L240" s="11">
        <v>0.802990424588908</v>
      </c>
    </row>
    <row r="241" spans="1:12">
      <c r="A241" s="2">
        <v>65</v>
      </c>
      <c r="B241" s="2">
        <v>6.4</v>
      </c>
      <c r="C241" s="2">
        <v>0.15</v>
      </c>
      <c r="D241" s="2">
        <v>1</v>
      </c>
      <c r="E241" s="2">
        <v>1</v>
      </c>
      <c r="F241" s="2">
        <v>23.4</v>
      </c>
      <c r="G241" s="5">
        <v>0.831152647810126</v>
      </c>
      <c r="H241" s="6">
        <v>23.6</v>
      </c>
      <c r="I241" s="2">
        <v>4.2</v>
      </c>
      <c r="J241" s="6">
        <v>395.674871062801</v>
      </c>
      <c r="K241" s="10">
        <v>55.6402749325119</v>
      </c>
      <c r="L241" s="11">
        <v>0.826454230571431</v>
      </c>
    </row>
    <row r="242" spans="1:12">
      <c r="A242" s="2">
        <v>67.5</v>
      </c>
      <c r="B242" s="2">
        <v>6.4</v>
      </c>
      <c r="C242" s="2">
        <v>0.15</v>
      </c>
      <c r="D242" s="2">
        <v>1</v>
      </c>
      <c r="E242" s="2">
        <v>1</v>
      </c>
      <c r="F242" s="2">
        <v>23.4</v>
      </c>
      <c r="G242" s="5">
        <v>0.809058400419842</v>
      </c>
      <c r="H242" s="6">
        <v>23.6</v>
      </c>
      <c r="I242" s="2">
        <v>4.9</v>
      </c>
      <c r="J242" s="6">
        <v>452.26812961279</v>
      </c>
      <c r="K242" s="10">
        <v>61.2082832003084</v>
      </c>
      <c r="L242" s="11">
        <v>0.87522787678501</v>
      </c>
    </row>
    <row r="243" spans="1:12">
      <c r="A243" s="2">
        <v>70</v>
      </c>
      <c r="B243" s="2">
        <v>6.4</v>
      </c>
      <c r="C243" s="2">
        <v>0.15</v>
      </c>
      <c r="D243" s="2">
        <v>1</v>
      </c>
      <c r="E243" s="2">
        <v>1</v>
      </c>
      <c r="F243" s="2">
        <v>23.4</v>
      </c>
      <c r="G243" s="5">
        <v>0.784179277129304</v>
      </c>
      <c r="H243" s="6">
        <v>23.6</v>
      </c>
      <c r="I243" s="2">
        <v>5.5</v>
      </c>
      <c r="J243" s="6">
        <v>506.471786864981</v>
      </c>
      <c r="K243" s="10">
        <v>65.9459209941499</v>
      </c>
      <c r="L243" s="11">
        <v>0.892759943773475</v>
      </c>
    </row>
    <row r="244" spans="1:12">
      <c r="A244" s="2">
        <v>45</v>
      </c>
      <c r="B244" s="2">
        <v>8.6</v>
      </c>
      <c r="C244" s="2">
        <v>0.15</v>
      </c>
      <c r="D244" s="2">
        <v>1</v>
      </c>
      <c r="E244" s="2">
        <v>1</v>
      </c>
      <c r="F244" s="2">
        <v>22.2</v>
      </c>
      <c r="G244" s="5">
        <v>0.93913980595102</v>
      </c>
      <c r="H244" s="6">
        <v>22.5</v>
      </c>
      <c r="I244" s="2">
        <v>1.9</v>
      </c>
      <c r="J244" s="6">
        <v>181.371263659987</v>
      </c>
      <c r="K244" s="10">
        <v>37.3635541312993</v>
      </c>
      <c r="L244" s="11">
        <v>0.628900095447196</v>
      </c>
    </row>
    <row r="245" spans="1:12">
      <c r="A245" s="2">
        <v>47.5</v>
      </c>
      <c r="B245" s="2">
        <v>8.6</v>
      </c>
      <c r="C245" s="2">
        <v>0.15</v>
      </c>
      <c r="D245" s="2">
        <v>1</v>
      </c>
      <c r="E245" s="2">
        <v>1</v>
      </c>
      <c r="F245" s="2">
        <v>22.2</v>
      </c>
      <c r="G245" s="5">
        <v>0.930523923822277</v>
      </c>
      <c r="H245" s="6">
        <v>22.5</v>
      </c>
      <c r="I245" s="2">
        <v>2.2</v>
      </c>
      <c r="J245" s="6">
        <v>211.318434906439</v>
      </c>
      <c r="K245" s="10">
        <v>40.2599194422906</v>
      </c>
      <c r="L245" s="11">
        <v>0.654530372445294</v>
      </c>
    </row>
    <row r="246" spans="1:12">
      <c r="A246" s="2">
        <v>50</v>
      </c>
      <c r="B246" s="2">
        <v>8.6</v>
      </c>
      <c r="C246" s="2">
        <v>0.15</v>
      </c>
      <c r="D246" s="2">
        <v>1</v>
      </c>
      <c r="E246" s="2">
        <v>1</v>
      </c>
      <c r="F246" s="2">
        <v>22.2</v>
      </c>
      <c r="G246" s="5">
        <v>0.920818198615511</v>
      </c>
      <c r="H246" s="6">
        <v>22.5</v>
      </c>
      <c r="I246" s="2">
        <v>2.7</v>
      </c>
      <c r="J246" s="6">
        <v>251.948227523971</v>
      </c>
      <c r="K246" s="10">
        <v>44.97317158933</v>
      </c>
      <c r="L246" s="11">
        <v>0.723034542755176</v>
      </c>
    </row>
    <row r="247" spans="1:12">
      <c r="A247" s="2">
        <v>52.5</v>
      </c>
      <c r="B247" s="2">
        <v>8.6</v>
      </c>
      <c r="C247" s="2">
        <v>0.15</v>
      </c>
      <c r="D247" s="2">
        <v>1</v>
      </c>
      <c r="E247" s="2">
        <v>1</v>
      </c>
      <c r="F247" s="2">
        <v>22.2</v>
      </c>
      <c r="G247" s="5">
        <v>0.909893599259399</v>
      </c>
      <c r="H247" s="6">
        <v>22.5</v>
      </c>
      <c r="I247" s="2">
        <v>3.1</v>
      </c>
      <c r="J247" s="6">
        <v>289.726067958084</v>
      </c>
      <c r="K247" s="10">
        <v>48.544623487472</v>
      </c>
      <c r="L247" s="11">
        <v>0.748203650781473</v>
      </c>
    </row>
    <row r="248" spans="1:12">
      <c r="A248" s="2">
        <v>55</v>
      </c>
      <c r="B248" s="2">
        <v>8.6</v>
      </c>
      <c r="C248" s="2">
        <v>0.15</v>
      </c>
      <c r="D248" s="2">
        <v>1</v>
      </c>
      <c r="E248" s="2">
        <v>1</v>
      </c>
      <c r="F248" s="2">
        <v>22.2</v>
      </c>
      <c r="G248" s="5">
        <v>0.89760467536325</v>
      </c>
      <c r="H248" s="6">
        <v>22.5</v>
      </c>
      <c r="I248" s="2">
        <v>3.5999999999999</v>
      </c>
      <c r="J248" s="6">
        <v>333.912123574756</v>
      </c>
      <c r="K248" s="10">
        <v>52.8960884024906</v>
      </c>
      <c r="L248" s="11">
        <v>0.784101809693746</v>
      </c>
    </row>
    <row r="249" spans="1:12">
      <c r="A249" s="2">
        <v>57.5</v>
      </c>
      <c r="B249" s="2">
        <v>8.6</v>
      </c>
      <c r="C249" s="2">
        <v>0.15</v>
      </c>
      <c r="D249" s="2">
        <v>1</v>
      </c>
      <c r="E249" s="2">
        <v>1</v>
      </c>
      <c r="F249" s="2">
        <v>22.2</v>
      </c>
      <c r="G249" s="5">
        <v>0.883786850160418</v>
      </c>
      <c r="H249" s="6">
        <v>22.6</v>
      </c>
      <c r="I249" s="2">
        <v>3.8999999999999</v>
      </c>
      <c r="J249" s="6">
        <v>370.739927532577</v>
      </c>
      <c r="K249" s="10">
        <v>52.1798344506941</v>
      </c>
      <c r="L249" s="11">
        <v>0.767619008658578</v>
      </c>
    </row>
    <row r="250" spans="1:12">
      <c r="A250" s="2">
        <v>60</v>
      </c>
      <c r="B250" s="2">
        <v>8.6</v>
      </c>
      <c r="C250" s="2">
        <v>0.15</v>
      </c>
      <c r="D250" s="2">
        <v>1</v>
      </c>
      <c r="E250" s="2">
        <v>1</v>
      </c>
      <c r="F250" s="2">
        <v>22.2</v>
      </c>
      <c r="G250" s="5">
        <v>0.868253123396246</v>
      </c>
      <c r="H250" s="6">
        <v>22.6</v>
      </c>
      <c r="I250" s="2">
        <v>4.5999999999999</v>
      </c>
      <c r="J250" s="6">
        <v>428.215990655956</v>
      </c>
      <c r="K250" s="10">
        <v>57.6895795249507</v>
      </c>
      <c r="L250" s="11">
        <v>0.819024188842109</v>
      </c>
    </row>
    <row r="251" spans="1:12">
      <c r="A251" s="2">
        <v>62.5</v>
      </c>
      <c r="B251" s="2">
        <v>8.6</v>
      </c>
      <c r="C251" s="2">
        <v>0.15</v>
      </c>
      <c r="D251" s="2">
        <v>1</v>
      </c>
      <c r="E251" s="2">
        <v>1</v>
      </c>
      <c r="F251" s="2">
        <v>22.2</v>
      </c>
      <c r="G251" s="5">
        <v>0.850790029374404</v>
      </c>
      <c r="H251" s="6">
        <v>22.6</v>
      </c>
      <c r="I251" s="2">
        <v>5.3</v>
      </c>
      <c r="J251" s="6">
        <v>488.031776103965</v>
      </c>
      <c r="K251" s="10">
        <v>63.072307006376</v>
      </c>
      <c r="L251" s="11">
        <v>0.854631531650937</v>
      </c>
    </row>
    <row r="252" spans="1:12">
      <c r="A252" s="2">
        <v>65</v>
      </c>
      <c r="B252" s="2">
        <v>8.6</v>
      </c>
      <c r="C252" s="2">
        <v>0.15</v>
      </c>
      <c r="D252" s="2">
        <v>1</v>
      </c>
      <c r="E252" s="2">
        <v>1</v>
      </c>
      <c r="F252" s="2">
        <v>22.2</v>
      </c>
      <c r="G252" s="5">
        <v>0.831152647810126</v>
      </c>
      <c r="H252" s="6">
        <v>22.6</v>
      </c>
      <c r="I252" s="2">
        <v>5.9</v>
      </c>
      <c r="J252" s="6">
        <v>545.810823243858</v>
      </c>
      <c r="K252" s="10">
        <v>67.6581456386198</v>
      </c>
      <c r="L252" s="11">
        <v>0.86261823712161</v>
      </c>
    </row>
    <row r="253" spans="1:12">
      <c r="A253" s="2">
        <v>67.5</v>
      </c>
      <c r="B253" s="2">
        <v>8.6</v>
      </c>
      <c r="C253" s="2">
        <v>0.15</v>
      </c>
      <c r="D253" s="2">
        <v>1</v>
      </c>
      <c r="E253" s="2">
        <v>1</v>
      </c>
      <c r="F253" s="2">
        <v>22.2</v>
      </c>
      <c r="G253" s="5">
        <v>0.809058400419842</v>
      </c>
      <c r="H253" s="6">
        <v>22.7</v>
      </c>
      <c r="I253" s="2">
        <v>6.7</v>
      </c>
      <c r="J253" s="6">
        <v>615.177350828453</v>
      </c>
      <c r="K253" s="10">
        <v>70.1786483889342</v>
      </c>
      <c r="L253" s="11">
        <v>0.889340107883462</v>
      </c>
    </row>
    <row r="254" spans="1:12">
      <c r="A254" s="2">
        <v>70</v>
      </c>
      <c r="B254" s="2">
        <v>8.6</v>
      </c>
      <c r="C254" s="2">
        <v>0.15</v>
      </c>
      <c r="D254" s="2">
        <v>1</v>
      </c>
      <c r="E254" s="2">
        <v>1</v>
      </c>
      <c r="F254" s="2">
        <v>22.2</v>
      </c>
      <c r="G254" s="5">
        <v>0.784179277129304</v>
      </c>
      <c r="H254" s="6">
        <v>22.7</v>
      </c>
      <c r="I254" s="2">
        <v>7.5</v>
      </c>
      <c r="J254" s="6">
        <v>687.695356504436</v>
      </c>
      <c r="K254" s="10">
        <v>75.8451718254346</v>
      </c>
      <c r="L254" s="11">
        <v>0.904698108507644</v>
      </c>
    </row>
    <row r="255" spans="1:12">
      <c r="A255" s="1">
        <v>45</v>
      </c>
      <c r="B255" s="1">
        <v>4.8</v>
      </c>
      <c r="C255" s="1">
        <v>0.0132</v>
      </c>
      <c r="D255" s="1">
        <v>1</v>
      </c>
      <c r="E255" s="2">
        <v>2</v>
      </c>
      <c r="F255" s="1">
        <v>20.4</v>
      </c>
      <c r="G255" s="3">
        <v>0.93913980595102</v>
      </c>
      <c r="H255" s="4">
        <v>20.5</v>
      </c>
      <c r="I255" s="1">
        <v>10.7</v>
      </c>
      <c r="J255" s="4">
        <v>98.6019541275018</v>
      </c>
      <c r="K255" s="13">
        <v>35.257157420138</v>
      </c>
      <c r="L255" s="9">
        <v>0.556589045331415</v>
      </c>
    </row>
    <row r="256" spans="1:12">
      <c r="A256" s="1">
        <v>50</v>
      </c>
      <c r="B256" s="1">
        <v>4.8</v>
      </c>
      <c r="C256" s="1">
        <v>0.0132</v>
      </c>
      <c r="D256" s="1">
        <v>1</v>
      </c>
      <c r="E256" s="2">
        <v>2</v>
      </c>
      <c r="F256" s="1">
        <v>20.4</v>
      </c>
      <c r="G256" s="3">
        <v>0.920818198615511</v>
      </c>
      <c r="H256" s="4">
        <v>20.5</v>
      </c>
      <c r="I256" s="1">
        <v>15.7</v>
      </c>
      <c r="J256" s="4">
        <v>137.658490061341</v>
      </c>
      <c r="K256" s="13">
        <v>49.2226254262186</v>
      </c>
      <c r="L256" s="9">
        <v>0.660737897844536</v>
      </c>
    </row>
    <row r="257" spans="1:12">
      <c r="A257" s="1">
        <v>55</v>
      </c>
      <c r="B257" s="1">
        <v>4.8</v>
      </c>
      <c r="C257" s="1">
        <v>0.0132</v>
      </c>
      <c r="D257" s="1">
        <v>1</v>
      </c>
      <c r="E257" s="2">
        <v>2</v>
      </c>
      <c r="F257" s="1">
        <v>20.4</v>
      </c>
      <c r="G257" s="3">
        <v>0.89760467536325</v>
      </c>
      <c r="H257" s="4">
        <v>20.6</v>
      </c>
      <c r="I257" s="1">
        <v>23.1</v>
      </c>
      <c r="J257" s="4">
        <v>190.015473719326</v>
      </c>
      <c r="K257" s="13">
        <v>68.1329058642192</v>
      </c>
      <c r="L257" s="9">
        <v>0.790855833935797</v>
      </c>
    </row>
    <row r="258" spans="1:12">
      <c r="A258" s="1">
        <v>60</v>
      </c>
      <c r="B258" s="1">
        <v>4.8</v>
      </c>
      <c r="C258" s="1">
        <v>0.0132</v>
      </c>
      <c r="D258" s="1">
        <v>1</v>
      </c>
      <c r="E258" s="2">
        <v>2</v>
      </c>
      <c r="F258" s="1">
        <v>20.4</v>
      </c>
      <c r="G258" s="3">
        <v>0.868253123396246</v>
      </c>
      <c r="H258" s="4">
        <v>20.6</v>
      </c>
      <c r="I258" s="1">
        <v>29.5</v>
      </c>
      <c r="J258" s="4">
        <v>242.970094653281</v>
      </c>
      <c r="K258" s="13">
        <v>96.2547709842334</v>
      </c>
      <c r="L258" s="9">
        <v>0.825501372915225</v>
      </c>
    </row>
    <row r="259" spans="1:12">
      <c r="A259" s="1">
        <v>65</v>
      </c>
      <c r="B259" s="1">
        <v>4.8</v>
      </c>
      <c r="C259" s="1">
        <v>0.0132</v>
      </c>
      <c r="D259" s="1">
        <v>1</v>
      </c>
      <c r="E259" s="2">
        <v>2</v>
      </c>
      <c r="F259" s="1">
        <v>20.4</v>
      </c>
      <c r="G259" s="3">
        <v>0.831152647810126</v>
      </c>
      <c r="H259" s="4">
        <v>20.6</v>
      </c>
      <c r="I259" s="1">
        <v>35.6</v>
      </c>
      <c r="J259" s="4">
        <v>299.942442211701</v>
      </c>
      <c r="K259" s="13">
        <v>129.747686801975</v>
      </c>
      <c r="L259" s="9">
        <v>0.818058633829072</v>
      </c>
    </row>
    <row r="260" spans="1:12">
      <c r="A260" s="1">
        <v>70</v>
      </c>
      <c r="B260" s="1">
        <v>4.8</v>
      </c>
      <c r="C260" s="1">
        <v>0.0132</v>
      </c>
      <c r="D260" s="1">
        <v>1</v>
      </c>
      <c r="E260" s="2">
        <v>2</v>
      </c>
      <c r="F260" s="1">
        <v>20.4</v>
      </c>
      <c r="G260" s="3">
        <v>0.784179277129304</v>
      </c>
      <c r="H260" s="4">
        <v>20.7</v>
      </c>
      <c r="I260" s="1">
        <v>41.9</v>
      </c>
      <c r="J260" s="4">
        <v>363.641095327199</v>
      </c>
      <c r="K260" s="13">
        <v>159.471025067555</v>
      </c>
      <c r="L260" s="9">
        <v>0.794392651387112</v>
      </c>
    </row>
    <row r="261" spans="1:12">
      <c r="A261" s="1">
        <v>45</v>
      </c>
      <c r="B261" s="1">
        <v>5.5</v>
      </c>
      <c r="C261" s="1">
        <v>0.0132</v>
      </c>
      <c r="D261" s="1">
        <v>1</v>
      </c>
      <c r="E261" s="2">
        <v>2</v>
      </c>
      <c r="F261" s="1">
        <v>20.5</v>
      </c>
      <c r="G261" s="3">
        <v>0.93913980595102</v>
      </c>
      <c r="H261" s="4">
        <v>20.6</v>
      </c>
      <c r="I261" s="1">
        <v>13</v>
      </c>
      <c r="J261" s="4">
        <v>115.792983018271</v>
      </c>
      <c r="K261" s="13">
        <v>48.195600470387</v>
      </c>
      <c r="L261" s="9">
        <v>0.590260525669708</v>
      </c>
    </row>
    <row r="262" spans="1:12">
      <c r="A262" s="1">
        <v>50</v>
      </c>
      <c r="B262" s="1">
        <v>5.5</v>
      </c>
      <c r="C262" s="1">
        <v>0.0132</v>
      </c>
      <c r="D262" s="1">
        <v>1</v>
      </c>
      <c r="E262" s="2">
        <v>2</v>
      </c>
      <c r="F262" s="1">
        <v>20.5</v>
      </c>
      <c r="G262" s="3">
        <v>0.920818198615511</v>
      </c>
      <c r="H262" s="4">
        <v>20.8</v>
      </c>
      <c r="I262" s="1">
        <v>18.1</v>
      </c>
      <c r="J262" s="4">
        <v>157.717557054183</v>
      </c>
      <c r="K262" s="13">
        <v>51.6856939356893</v>
      </c>
      <c r="L262" s="9">
        <v>0.665116647808256</v>
      </c>
    </row>
    <row r="263" spans="1:12">
      <c r="A263" s="1">
        <v>55</v>
      </c>
      <c r="B263" s="1">
        <v>5.5</v>
      </c>
      <c r="C263" s="1">
        <v>0.0132</v>
      </c>
      <c r="D263" s="1">
        <v>1</v>
      </c>
      <c r="E263" s="2">
        <v>2</v>
      </c>
      <c r="F263" s="1">
        <v>20.5</v>
      </c>
      <c r="G263" s="3">
        <v>0.89760467536325</v>
      </c>
      <c r="H263" s="4">
        <v>20.9</v>
      </c>
      <c r="I263" s="1">
        <v>25.5</v>
      </c>
      <c r="J263" s="4">
        <v>213.387418859136</v>
      </c>
      <c r="K263" s="13">
        <v>77.2540692338148</v>
      </c>
      <c r="L263" s="9">
        <v>0.762278149792084</v>
      </c>
    </row>
    <row r="264" spans="1:12">
      <c r="A264" s="1">
        <v>60</v>
      </c>
      <c r="B264" s="1">
        <v>5.5</v>
      </c>
      <c r="C264" s="1">
        <v>0.0132</v>
      </c>
      <c r="D264" s="1">
        <v>1</v>
      </c>
      <c r="E264" s="2">
        <v>2</v>
      </c>
      <c r="F264" s="1">
        <v>20.5</v>
      </c>
      <c r="G264" s="3">
        <v>0.868253123396246</v>
      </c>
      <c r="H264" s="4">
        <v>21</v>
      </c>
      <c r="I264" s="1">
        <v>31.8</v>
      </c>
      <c r="J264" s="4">
        <v>269.778987655342</v>
      </c>
      <c r="K264" s="13">
        <v>102.454847023455</v>
      </c>
      <c r="L264" s="9">
        <v>0.777102675266003</v>
      </c>
    </row>
    <row r="265" spans="1:12">
      <c r="A265" s="1">
        <v>65</v>
      </c>
      <c r="B265" s="1">
        <v>5.5</v>
      </c>
      <c r="C265" s="1">
        <v>0.0132</v>
      </c>
      <c r="D265" s="1">
        <v>1</v>
      </c>
      <c r="E265" s="2">
        <v>2</v>
      </c>
      <c r="F265" s="1">
        <v>20.5</v>
      </c>
      <c r="G265" s="3">
        <v>0.831152647810126</v>
      </c>
      <c r="H265" s="4">
        <v>21</v>
      </c>
      <c r="I265" s="1">
        <v>38.3</v>
      </c>
      <c r="J265" s="4">
        <v>333.108667713649</v>
      </c>
      <c r="K265" s="13">
        <v>147.134476789263</v>
      </c>
      <c r="L265" s="9">
        <v>0.768575468578421</v>
      </c>
    </row>
    <row r="266" spans="1:12">
      <c r="A266" s="1">
        <v>70</v>
      </c>
      <c r="B266" s="1">
        <v>5.5</v>
      </c>
      <c r="C266" s="1">
        <v>0.0132</v>
      </c>
      <c r="D266" s="1">
        <v>1</v>
      </c>
      <c r="E266" s="2">
        <v>2</v>
      </c>
      <c r="F266" s="1">
        <v>20.4</v>
      </c>
      <c r="G266" s="3">
        <v>0.784179277129304</v>
      </c>
      <c r="H266" s="4">
        <v>21</v>
      </c>
      <c r="I266" s="1">
        <v>42.7</v>
      </c>
      <c r="J266" s="4">
        <v>394.948105981971</v>
      </c>
      <c r="K266" s="13">
        <v>153.111164407897</v>
      </c>
      <c r="L266" s="9">
        <v>0.706857803084514</v>
      </c>
    </row>
    <row r="267" spans="1:12">
      <c r="A267" s="1">
        <v>45</v>
      </c>
      <c r="B267" s="1">
        <v>6.6</v>
      </c>
      <c r="C267" s="1">
        <v>0.0132</v>
      </c>
      <c r="D267" s="1">
        <v>1</v>
      </c>
      <c r="E267" s="2">
        <v>2</v>
      </c>
      <c r="F267" s="1">
        <v>20.4</v>
      </c>
      <c r="G267" s="3">
        <v>0.93913980595102</v>
      </c>
      <c r="H267" s="4">
        <v>20.8</v>
      </c>
      <c r="I267" s="1">
        <v>14.7</v>
      </c>
      <c r="J267" s="4">
        <v>134.969552295882</v>
      </c>
      <c r="K267" s="13">
        <v>45.588814699782</v>
      </c>
      <c r="L267" s="9">
        <v>0.556388786527579</v>
      </c>
    </row>
    <row r="268" spans="1:12">
      <c r="A268" s="1">
        <v>50</v>
      </c>
      <c r="B268" s="1">
        <v>6.6</v>
      </c>
      <c r="C268" s="1">
        <v>0.0132</v>
      </c>
      <c r="D268" s="1">
        <v>1</v>
      </c>
      <c r="E268" s="2">
        <v>2</v>
      </c>
      <c r="F268" s="1">
        <v>20.4</v>
      </c>
      <c r="G268" s="3">
        <v>0.920818198615511</v>
      </c>
      <c r="H268" s="4">
        <v>20.8</v>
      </c>
      <c r="I268" s="1">
        <v>20.5</v>
      </c>
      <c r="J268" s="4">
        <v>184.368360131686</v>
      </c>
      <c r="K268" s="13">
        <v>66.2150519518919</v>
      </c>
      <c r="L268" s="9">
        <v>0.627757425417553</v>
      </c>
    </row>
    <row r="269" spans="1:12">
      <c r="A269" s="1">
        <v>55</v>
      </c>
      <c r="B269" s="1">
        <v>6.6</v>
      </c>
      <c r="C269" s="1">
        <v>0.0132</v>
      </c>
      <c r="D269" s="1">
        <v>1</v>
      </c>
      <c r="E269" s="2">
        <v>2</v>
      </c>
      <c r="F269" s="1">
        <v>20.4</v>
      </c>
      <c r="G269" s="3">
        <v>0.89760467536325</v>
      </c>
      <c r="H269" s="4">
        <v>21.1</v>
      </c>
      <c r="I269" s="1">
        <v>26.4</v>
      </c>
      <c r="J269" s="4">
        <v>238.855303533761</v>
      </c>
      <c r="K269" s="13">
        <v>78.3703072121781</v>
      </c>
      <c r="L269" s="9">
        <v>0.657863082382228</v>
      </c>
    </row>
    <row r="270" spans="1:12">
      <c r="A270" s="1">
        <v>60</v>
      </c>
      <c r="B270" s="1">
        <v>6.6</v>
      </c>
      <c r="C270" s="1">
        <v>0.0132</v>
      </c>
      <c r="D270" s="1">
        <v>1</v>
      </c>
      <c r="E270" s="2">
        <v>2</v>
      </c>
      <c r="F270" s="1">
        <v>20.4</v>
      </c>
      <c r="G270" s="3">
        <v>0.868253123396246</v>
      </c>
      <c r="H270" s="4">
        <v>21.1</v>
      </c>
      <c r="I270" s="1">
        <v>32.9</v>
      </c>
      <c r="J270" s="4">
        <v>302.460059730795</v>
      </c>
      <c r="K270" s="13">
        <v>113.865246816099</v>
      </c>
      <c r="L270" s="9">
        <v>0.670093100742857</v>
      </c>
    </row>
    <row r="271" spans="1:12">
      <c r="A271" s="1">
        <v>65</v>
      </c>
      <c r="B271" s="1">
        <v>6.6</v>
      </c>
      <c r="C271" s="1">
        <v>0.0132</v>
      </c>
      <c r="D271" s="1">
        <v>1</v>
      </c>
      <c r="E271" s="2">
        <v>2</v>
      </c>
      <c r="F271" s="1">
        <v>20.4</v>
      </c>
      <c r="G271" s="3">
        <v>0.831152647810126</v>
      </c>
      <c r="H271" s="4">
        <v>21.1</v>
      </c>
      <c r="I271" s="1">
        <v>39.5</v>
      </c>
      <c r="J271" s="4">
        <v>373.646969926141</v>
      </c>
      <c r="K271" s="13">
        <v>168.643477955076</v>
      </c>
      <c r="L271" s="9">
        <v>0.660651244608213</v>
      </c>
    </row>
    <row r="272" spans="1:12">
      <c r="A272" s="1">
        <v>70</v>
      </c>
      <c r="B272" s="1">
        <v>6.6</v>
      </c>
      <c r="C272" s="1">
        <v>0.0132</v>
      </c>
      <c r="D272" s="1">
        <v>1</v>
      </c>
      <c r="E272" s="2">
        <v>2</v>
      </c>
      <c r="F272" s="1">
        <v>20.4</v>
      </c>
      <c r="G272" s="3">
        <v>0.784179277129304</v>
      </c>
      <c r="H272" s="4">
        <v>21.2</v>
      </c>
      <c r="I272" s="1">
        <v>44.4</v>
      </c>
      <c r="J272" s="4">
        <v>446.162490654333</v>
      </c>
      <c r="K272" s="13">
        <v>189.801800286049</v>
      </c>
      <c r="L272" s="9">
        <v>0.612691908122552</v>
      </c>
    </row>
    <row r="273" spans="1:12">
      <c r="A273" s="1">
        <v>45</v>
      </c>
      <c r="B273" s="1">
        <v>8</v>
      </c>
      <c r="C273" s="1">
        <v>0.0132</v>
      </c>
      <c r="D273" s="1">
        <v>1</v>
      </c>
      <c r="E273" s="2">
        <v>2</v>
      </c>
      <c r="F273" s="1">
        <v>20.4</v>
      </c>
      <c r="G273" s="3">
        <v>0.93913980595102</v>
      </c>
      <c r="H273" s="4">
        <v>21.2</v>
      </c>
      <c r="I273" s="1">
        <v>18.5</v>
      </c>
      <c r="J273" s="4">
        <v>165.420870029657</v>
      </c>
      <c r="K273" s="13">
        <v>63.4040192817427</v>
      </c>
      <c r="L273" s="9">
        <v>0.578056588861215</v>
      </c>
    </row>
    <row r="274" spans="1:12">
      <c r="A274" s="1">
        <v>50</v>
      </c>
      <c r="B274" s="1">
        <v>8</v>
      </c>
      <c r="C274" s="1">
        <v>0.0132</v>
      </c>
      <c r="D274" s="1">
        <v>1</v>
      </c>
      <c r="E274" s="2">
        <v>2</v>
      </c>
      <c r="F274" s="1">
        <v>20.4</v>
      </c>
      <c r="G274" s="3">
        <v>0.920818198615511</v>
      </c>
      <c r="H274" s="4">
        <v>21.2</v>
      </c>
      <c r="I274" s="1">
        <v>25.2</v>
      </c>
      <c r="J274" s="4">
        <v>223.985745710659</v>
      </c>
      <c r="K274" s="13">
        <v>106.066464635791</v>
      </c>
      <c r="L274" s="9">
        <v>0.637050461639884</v>
      </c>
    </row>
    <row r="275" spans="1:12">
      <c r="A275" s="1">
        <v>55</v>
      </c>
      <c r="B275" s="1">
        <v>8</v>
      </c>
      <c r="C275" s="1">
        <v>0.0132</v>
      </c>
      <c r="D275" s="1">
        <v>1</v>
      </c>
      <c r="E275" s="2">
        <v>2</v>
      </c>
      <c r="F275" s="1">
        <v>20.4</v>
      </c>
      <c r="G275" s="3">
        <v>0.89760467536325</v>
      </c>
      <c r="H275" s="4">
        <v>21.3</v>
      </c>
      <c r="I275" s="1">
        <v>28.2</v>
      </c>
      <c r="J275" s="4">
        <v>273.83559186778</v>
      </c>
      <c r="K275" s="13">
        <v>97.6676214617086</v>
      </c>
      <c r="L275" s="9">
        <v>0.579928089400872</v>
      </c>
    </row>
    <row r="276" spans="1:12">
      <c r="A276" s="1">
        <v>60</v>
      </c>
      <c r="B276" s="1">
        <v>8</v>
      </c>
      <c r="C276" s="1">
        <v>0.0132</v>
      </c>
      <c r="D276" s="1">
        <v>1</v>
      </c>
      <c r="E276" s="2">
        <v>2</v>
      </c>
      <c r="F276" s="1">
        <v>20.4</v>
      </c>
      <c r="G276" s="3">
        <v>0.868253123396246</v>
      </c>
      <c r="H276" s="4">
        <v>21.3</v>
      </c>
      <c r="I276" s="1">
        <v>34.4</v>
      </c>
      <c r="J276" s="4">
        <v>344.207742676263</v>
      </c>
      <c r="K276" s="13">
        <v>140.406271911388</v>
      </c>
      <c r="L276" s="9">
        <v>0.578215896870403</v>
      </c>
    </row>
    <row r="277" spans="1:12">
      <c r="A277" s="1">
        <v>65</v>
      </c>
      <c r="B277" s="1">
        <v>8</v>
      </c>
      <c r="C277" s="1">
        <v>0.0132</v>
      </c>
      <c r="D277" s="1">
        <v>1</v>
      </c>
      <c r="E277" s="2">
        <v>2</v>
      </c>
      <c r="F277" s="1">
        <v>20.4</v>
      </c>
      <c r="G277" s="3">
        <v>0.831152647810126</v>
      </c>
      <c r="H277" s="4">
        <v>21.3</v>
      </c>
      <c r="I277" s="1">
        <v>40.5</v>
      </c>
      <c r="J277" s="4">
        <v>422.884466724713</v>
      </c>
      <c r="K277" s="13">
        <v>200.387437315869</v>
      </c>
      <c r="L277" s="9">
        <v>0.559012382376324</v>
      </c>
    </row>
    <row r="278" spans="1:12">
      <c r="A278" s="1">
        <v>45</v>
      </c>
      <c r="B278" s="1">
        <v>4.8</v>
      </c>
      <c r="C278" s="1">
        <v>0.03</v>
      </c>
      <c r="D278" s="1">
        <v>1</v>
      </c>
      <c r="E278" s="2">
        <v>2</v>
      </c>
      <c r="F278" s="1">
        <v>20.8</v>
      </c>
      <c r="G278" s="3">
        <v>0.93913980595102</v>
      </c>
      <c r="H278" s="4">
        <v>21</v>
      </c>
      <c r="I278" s="1">
        <v>5.7</v>
      </c>
      <c r="J278" s="4">
        <v>106.964873718852</v>
      </c>
      <c r="K278" s="13">
        <v>26.4618743693882</v>
      </c>
      <c r="L278" s="9">
        <v>0.674415832000584</v>
      </c>
    </row>
    <row r="279" spans="1:12">
      <c r="A279" s="1">
        <v>50</v>
      </c>
      <c r="B279" s="1">
        <v>4.8</v>
      </c>
      <c r="C279" s="1">
        <v>0.03</v>
      </c>
      <c r="D279" s="1">
        <v>1</v>
      </c>
      <c r="E279" s="2">
        <v>2</v>
      </c>
      <c r="F279" s="1">
        <v>20.8</v>
      </c>
      <c r="G279" s="3">
        <v>0.920818198615511</v>
      </c>
      <c r="H279" s="4">
        <v>21</v>
      </c>
      <c r="I279" s="1">
        <v>7.6</v>
      </c>
      <c r="J279" s="4">
        <v>143.295938918919</v>
      </c>
      <c r="K279" s="13">
        <v>31.3518873987083</v>
      </c>
      <c r="L279" s="9">
        <v>0.727515596474211</v>
      </c>
    </row>
    <row r="280" spans="1:12">
      <c r="A280" s="1">
        <v>55</v>
      </c>
      <c r="B280" s="1">
        <v>4.8</v>
      </c>
      <c r="C280" s="1">
        <v>0.03</v>
      </c>
      <c r="D280" s="1">
        <v>1</v>
      </c>
      <c r="E280" s="2">
        <v>2</v>
      </c>
      <c r="F280" s="1">
        <v>20.8</v>
      </c>
      <c r="G280" s="3">
        <v>0.89760467536325</v>
      </c>
      <c r="H280" s="4">
        <v>21</v>
      </c>
      <c r="I280" s="1">
        <v>10.3</v>
      </c>
      <c r="J280" s="4">
        <v>190.72641257502</v>
      </c>
      <c r="K280" s="13">
        <v>38.4938722246017</v>
      </c>
      <c r="L280" s="9">
        <v>0.801953281274553</v>
      </c>
    </row>
    <row r="281" spans="1:12">
      <c r="A281" s="1">
        <v>60</v>
      </c>
      <c r="B281" s="1">
        <v>4.8</v>
      </c>
      <c r="C281" s="1">
        <v>0.03</v>
      </c>
      <c r="D281" s="1">
        <v>1</v>
      </c>
      <c r="E281" s="2">
        <v>2</v>
      </c>
      <c r="F281" s="1">
        <v>20.8</v>
      </c>
      <c r="G281" s="3">
        <v>0.868253123396246</v>
      </c>
      <c r="H281" s="4">
        <v>21.1</v>
      </c>
      <c r="I281" s="1">
        <v>13.4</v>
      </c>
      <c r="J281" s="4">
        <v>246.148035864821</v>
      </c>
      <c r="K281" s="13">
        <v>42.9972093346108</v>
      </c>
      <c r="L281" s="9">
        <v>0.852892054516935</v>
      </c>
    </row>
    <row r="282" spans="1:12">
      <c r="A282" s="1">
        <v>65</v>
      </c>
      <c r="B282" s="1">
        <v>4.8</v>
      </c>
      <c r="C282" s="1">
        <v>0.03</v>
      </c>
      <c r="D282" s="1">
        <v>1</v>
      </c>
      <c r="E282" s="2">
        <v>2</v>
      </c>
      <c r="F282" s="1">
        <v>20.8</v>
      </c>
      <c r="G282" s="3">
        <v>0.831152647810126</v>
      </c>
      <c r="H282" s="4">
        <v>21.1</v>
      </c>
      <c r="I282" s="1">
        <v>16.7</v>
      </c>
      <c r="J282" s="4">
        <v>308.748459188709</v>
      </c>
      <c r="K282" s="13">
        <v>51.2858298032414</v>
      </c>
      <c r="L282" s="9">
        <v>0.872854096911168</v>
      </c>
    </row>
    <row r="283" spans="1:12">
      <c r="A283" s="1">
        <v>70</v>
      </c>
      <c r="B283" s="1">
        <v>4.8</v>
      </c>
      <c r="C283" s="1">
        <v>0.03</v>
      </c>
      <c r="D283" s="1">
        <v>1</v>
      </c>
      <c r="E283" s="2">
        <v>2</v>
      </c>
      <c r="F283" s="1">
        <v>20.8</v>
      </c>
      <c r="G283" s="3">
        <v>0.784179277129304</v>
      </c>
      <c r="H283" s="4">
        <v>21.1</v>
      </c>
      <c r="I283" s="1">
        <v>20.9</v>
      </c>
      <c r="J283" s="4">
        <v>385.601863941149</v>
      </c>
      <c r="K283" s="13">
        <v>62.6167107233191</v>
      </c>
      <c r="L283" s="9">
        <v>0.901129833747277</v>
      </c>
    </row>
    <row r="284" spans="1:12">
      <c r="A284" s="1">
        <v>45</v>
      </c>
      <c r="B284" s="1">
        <v>5.5</v>
      </c>
      <c r="C284" s="1">
        <v>0.03</v>
      </c>
      <c r="D284" s="1">
        <v>1</v>
      </c>
      <c r="E284" s="2">
        <v>2</v>
      </c>
      <c r="F284" s="1">
        <v>20.8</v>
      </c>
      <c r="G284" s="3">
        <v>0.93913980595102</v>
      </c>
      <c r="H284" s="4">
        <v>21.2</v>
      </c>
      <c r="I284" s="1">
        <v>6.7</v>
      </c>
      <c r="J284" s="4">
        <v>123.787069499556</v>
      </c>
      <c r="K284" s="13">
        <v>27.3525382384567</v>
      </c>
      <c r="L284" s="9">
        <v>0.692066856443179</v>
      </c>
    </row>
    <row r="285" spans="1:12">
      <c r="A285" s="1">
        <v>50</v>
      </c>
      <c r="B285" s="1">
        <v>5.5</v>
      </c>
      <c r="C285" s="1">
        <v>0.03</v>
      </c>
      <c r="D285" s="1">
        <v>1</v>
      </c>
      <c r="E285" s="2">
        <v>2</v>
      </c>
      <c r="F285" s="1">
        <v>20.8</v>
      </c>
      <c r="G285" s="3">
        <v>0.920818198615511</v>
      </c>
      <c r="H285" s="4">
        <v>21.3</v>
      </c>
      <c r="I285" s="1">
        <v>8.8</v>
      </c>
      <c r="J285" s="4">
        <v>164.561911640136</v>
      </c>
      <c r="K285" s="13">
        <v>30.6687343207221</v>
      </c>
      <c r="L285" s="9">
        <v>0.735530854801073</v>
      </c>
    </row>
    <row r="286" spans="1:12">
      <c r="A286" s="1">
        <v>55</v>
      </c>
      <c r="B286" s="1">
        <v>5.5</v>
      </c>
      <c r="C286" s="1">
        <v>0.03</v>
      </c>
      <c r="D286" s="1">
        <v>1</v>
      </c>
      <c r="E286" s="2">
        <v>2</v>
      </c>
      <c r="F286" s="1">
        <v>20.8</v>
      </c>
      <c r="G286" s="3">
        <v>0.89760467536325</v>
      </c>
      <c r="H286" s="4">
        <v>21.3</v>
      </c>
      <c r="I286" s="1">
        <v>11.2</v>
      </c>
      <c r="J286" s="4">
        <v>212.593349617432</v>
      </c>
      <c r="K286" s="13">
        <v>36.1752755094925</v>
      </c>
      <c r="L286" s="9">
        <v>0.761408428730996</v>
      </c>
    </row>
    <row r="287" spans="1:12">
      <c r="A287" s="1">
        <v>60</v>
      </c>
      <c r="B287" s="1">
        <v>5.5</v>
      </c>
      <c r="C287" s="1">
        <v>0.03</v>
      </c>
      <c r="D287" s="1">
        <v>1</v>
      </c>
      <c r="E287" s="2">
        <v>2</v>
      </c>
      <c r="F287" s="1">
        <v>20.8</v>
      </c>
      <c r="G287" s="3">
        <v>0.868253123396246</v>
      </c>
      <c r="H287" s="4">
        <v>21.3</v>
      </c>
      <c r="I287" s="1">
        <v>14.7</v>
      </c>
      <c r="J287" s="4">
        <v>275.780843923264</v>
      </c>
      <c r="K287" s="13">
        <v>44.7203952587765</v>
      </c>
      <c r="L287" s="9">
        <v>0.816814691908027</v>
      </c>
    </row>
    <row r="288" spans="1:12">
      <c r="A288" s="1">
        <v>65</v>
      </c>
      <c r="B288" s="1">
        <v>5.5</v>
      </c>
      <c r="C288" s="1">
        <v>0.03</v>
      </c>
      <c r="D288" s="1">
        <v>1</v>
      </c>
      <c r="E288" s="2">
        <v>2</v>
      </c>
      <c r="F288" s="1">
        <v>20.7</v>
      </c>
      <c r="G288" s="3">
        <v>0.831152647810126</v>
      </c>
      <c r="H288" s="4">
        <v>21.3</v>
      </c>
      <c r="I288" s="1">
        <v>19.5</v>
      </c>
      <c r="J288" s="4">
        <v>356.80240681074</v>
      </c>
      <c r="K288" s="13">
        <v>54.8719237754001</v>
      </c>
      <c r="L288" s="9">
        <v>0.889765653001801</v>
      </c>
    </row>
    <row r="289" spans="1:12">
      <c r="A289" s="1">
        <v>70</v>
      </c>
      <c r="B289" s="1">
        <v>5.5</v>
      </c>
      <c r="C289" s="1">
        <v>0.03</v>
      </c>
      <c r="D289" s="1">
        <v>1</v>
      </c>
      <c r="E289" s="2">
        <v>2</v>
      </c>
      <c r="F289" s="1">
        <v>20.7</v>
      </c>
      <c r="G289" s="3">
        <v>0.784179277129304</v>
      </c>
      <c r="H289" s="4">
        <v>21.3</v>
      </c>
      <c r="I289" s="1">
        <v>24</v>
      </c>
      <c r="J289" s="4">
        <v>442.022727840055</v>
      </c>
      <c r="K289" s="13">
        <v>66.958927440785</v>
      </c>
      <c r="L289" s="9">
        <v>0.903372964624433</v>
      </c>
    </row>
    <row r="290" spans="1:12">
      <c r="A290" s="1">
        <v>45</v>
      </c>
      <c r="B290" s="1">
        <v>6.6</v>
      </c>
      <c r="C290" s="1">
        <v>0.03</v>
      </c>
      <c r="D290" s="1">
        <v>1</v>
      </c>
      <c r="E290" s="2">
        <v>2</v>
      </c>
      <c r="F290" s="1">
        <v>20.7</v>
      </c>
      <c r="G290" s="3">
        <v>0.93913980595102</v>
      </c>
      <c r="H290" s="4">
        <v>21.3</v>
      </c>
      <c r="I290" s="1">
        <v>8.1</v>
      </c>
      <c r="J290" s="4">
        <v>148.901395986261</v>
      </c>
      <c r="K290" s="13">
        <v>31.4586352750658</v>
      </c>
      <c r="L290" s="9">
        <v>0.697345340680712</v>
      </c>
    </row>
    <row r="291" spans="1:12">
      <c r="A291" s="1">
        <v>50</v>
      </c>
      <c r="B291" s="1">
        <v>6.6</v>
      </c>
      <c r="C291" s="1">
        <v>0.03</v>
      </c>
      <c r="D291" s="1">
        <v>1</v>
      </c>
      <c r="E291" s="2">
        <v>2</v>
      </c>
      <c r="F291" s="1">
        <v>20.7</v>
      </c>
      <c r="G291" s="3">
        <v>0.920818198615511</v>
      </c>
      <c r="H291" s="4">
        <v>21.3</v>
      </c>
      <c r="I291" s="1">
        <v>10.8</v>
      </c>
      <c r="J291" s="4">
        <v>199.661793968164</v>
      </c>
      <c r="K291" s="13">
        <v>38.2435586146242</v>
      </c>
      <c r="L291" s="9">
        <v>0.752247465137461</v>
      </c>
    </row>
    <row r="292" spans="1:12">
      <c r="A292" s="1">
        <v>55</v>
      </c>
      <c r="B292" s="1">
        <v>6.6</v>
      </c>
      <c r="C292" s="1">
        <v>0.03</v>
      </c>
      <c r="D292" s="1">
        <v>1</v>
      </c>
      <c r="E292" s="2">
        <v>2</v>
      </c>
      <c r="F292" s="1">
        <v>20.7</v>
      </c>
      <c r="G292" s="3">
        <v>0.89760467536325</v>
      </c>
      <c r="H292" s="4">
        <v>21.3</v>
      </c>
      <c r="I292" s="1">
        <v>14.1</v>
      </c>
      <c r="J292" s="4">
        <v>261.127644540919</v>
      </c>
      <c r="K292" s="13">
        <v>46.8498729914089</v>
      </c>
      <c r="L292" s="9">
        <v>0.798799021213322</v>
      </c>
    </row>
    <row r="293" spans="1:12">
      <c r="A293" s="1">
        <v>60</v>
      </c>
      <c r="B293" s="1">
        <v>6.6</v>
      </c>
      <c r="C293" s="1">
        <v>0.03</v>
      </c>
      <c r="D293" s="1">
        <v>1</v>
      </c>
      <c r="E293" s="2">
        <v>2</v>
      </c>
      <c r="F293" s="1">
        <v>20.8</v>
      </c>
      <c r="G293" s="3">
        <v>0.868253123396246</v>
      </c>
      <c r="H293" s="4">
        <v>21.3</v>
      </c>
      <c r="I293" s="1">
        <v>18.4</v>
      </c>
      <c r="J293" s="4">
        <v>337.86409604125</v>
      </c>
      <c r="K293" s="13">
        <v>62.0488272396538</v>
      </c>
      <c r="L293" s="9">
        <v>0.852006254597942</v>
      </c>
    </row>
    <row r="294" spans="1:12">
      <c r="A294" s="1">
        <v>65</v>
      </c>
      <c r="B294" s="1">
        <v>6.6</v>
      </c>
      <c r="C294" s="1">
        <v>0.03</v>
      </c>
      <c r="D294" s="1">
        <v>1</v>
      </c>
      <c r="E294" s="2">
        <v>2</v>
      </c>
      <c r="F294" s="1">
        <v>20.8</v>
      </c>
      <c r="G294" s="3">
        <v>0.831152647810126</v>
      </c>
      <c r="H294" s="4">
        <v>21.3</v>
      </c>
      <c r="I294" s="1">
        <v>22.7</v>
      </c>
      <c r="J294" s="4">
        <v>421.782679839555</v>
      </c>
      <c r="K294" s="13">
        <v>75.5432887719083</v>
      </c>
      <c r="L294" s="9">
        <v>0.863148731758157</v>
      </c>
    </row>
    <row r="295" spans="1:12">
      <c r="A295" s="1">
        <v>70</v>
      </c>
      <c r="B295" s="1">
        <v>6.6</v>
      </c>
      <c r="C295" s="1">
        <v>0.03</v>
      </c>
      <c r="D295" s="1">
        <v>1</v>
      </c>
      <c r="E295" s="2">
        <v>2</v>
      </c>
      <c r="F295" s="1">
        <v>20.8</v>
      </c>
      <c r="G295" s="3">
        <v>0.784179277129304</v>
      </c>
      <c r="H295" s="4">
        <v>21.3</v>
      </c>
      <c r="I295" s="1">
        <v>28.2</v>
      </c>
      <c r="J295" s="4">
        <v>524.958523408065</v>
      </c>
      <c r="K295" s="13">
        <v>95.7132450634743</v>
      </c>
      <c r="L295" s="9">
        <v>0.884552694528091</v>
      </c>
    </row>
    <row r="296" spans="1:12">
      <c r="A296" s="1">
        <v>45</v>
      </c>
      <c r="B296" s="1">
        <v>8</v>
      </c>
      <c r="C296" s="1">
        <v>0.03</v>
      </c>
      <c r="D296" s="1">
        <v>1</v>
      </c>
      <c r="E296" s="2">
        <v>2</v>
      </c>
      <c r="F296" s="1">
        <v>20.7</v>
      </c>
      <c r="G296" s="3">
        <v>0.93913980595102</v>
      </c>
      <c r="H296" s="4">
        <v>21</v>
      </c>
      <c r="I296" s="1">
        <v>9.3</v>
      </c>
      <c r="J296" s="4">
        <v>176.451872864753</v>
      </c>
      <c r="K296" s="13">
        <v>46.9580806801223</v>
      </c>
      <c r="L296" s="9">
        <v>0.660217603958466</v>
      </c>
    </row>
    <row r="297" spans="1:12">
      <c r="A297" s="1">
        <v>50</v>
      </c>
      <c r="B297" s="1">
        <v>8</v>
      </c>
      <c r="C297" s="1">
        <v>0.03</v>
      </c>
      <c r="D297" s="1">
        <v>1</v>
      </c>
      <c r="E297" s="2">
        <v>2</v>
      </c>
      <c r="F297" s="1">
        <v>20.7</v>
      </c>
      <c r="G297" s="3">
        <v>0.920818198615511</v>
      </c>
      <c r="H297" s="4">
        <v>21</v>
      </c>
      <c r="I297" s="1">
        <v>13.1</v>
      </c>
      <c r="J297" s="4">
        <v>242.776217642644</v>
      </c>
      <c r="K297" s="13">
        <v>60.9075760416177</v>
      </c>
      <c r="L297" s="9">
        <v>0.75240428793254</v>
      </c>
    </row>
    <row r="298" spans="1:12">
      <c r="A298" s="1">
        <v>55</v>
      </c>
      <c r="B298" s="1">
        <v>8</v>
      </c>
      <c r="C298" s="1">
        <v>0.03</v>
      </c>
      <c r="D298" s="1">
        <v>1</v>
      </c>
      <c r="E298" s="2">
        <v>2</v>
      </c>
      <c r="F298" s="1">
        <v>20.7</v>
      </c>
      <c r="G298" s="3">
        <v>0.89760467536325</v>
      </c>
      <c r="H298" s="4">
        <v>21</v>
      </c>
      <c r="I298" s="1">
        <v>17.3</v>
      </c>
      <c r="J298" s="4">
        <v>319.092632069477</v>
      </c>
      <c r="K298" s="13">
        <v>77.1399014515985</v>
      </c>
      <c r="L298" s="9">
        <v>0.808182044624258</v>
      </c>
    </row>
    <row r="299" spans="1:12">
      <c r="A299" s="1">
        <v>60</v>
      </c>
      <c r="B299" s="1">
        <v>8</v>
      </c>
      <c r="C299" s="1">
        <v>0.03</v>
      </c>
      <c r="D299" s="1">
        <v>1</v>
      </c>
      <c r="E299" s="2">
        <v>2</v>
      </c>
      <c r="F299" s="1">
        <v>20.7</v>
      </c>
      <c r="G299" s="3">
        <v>0.868253123396246</v>
      </c>
      <c r="H299" s="4">
        <v>21.1</v>
      </c>
      <c r="I299" s="1">
        <v>22.5</v>
      </c>
      <c r="J299" s="4">
        <v>411.76582366359</v>
      </c>
      <c r="K299" s="13">
        <v>93.8441834728553</v>
      </c>
      <c r="L299" s="9">
        <v>0.859256920595419</v>
      </c>
    </row>
    <row r="300" spans="1:12">
      <c r="A300" s="1">
        <v>65</v>
      </c>
      <c r="B300" s="1">
        <v>8</v>
      </c>
      <c r="C300" s="1">
        <v>0.03</v>
      </c>
      <c r="D300" s="1">
        <v>1</v>
      </c>
      <c r="E300" s="2">
        <v>2</v>
      </c>
      <c r="F300" s="1">
        <v>20.7</v>
      </c>
      <c r="G300" s="3">
        <v>0.831152647810126</v>
      </c>
      <c r="H300" s="4">
        <v>21.1</v>
      </c>
      <c r="I300" s="1">
        <v>28.2</v>
      </c>
      <c r="J300" s="4">
        <v>517.922779203403</v>
      </c>
      <c r="K300" s="13">
        <v>121.896919914894</v>
      </c>
      <c r="L300" s="9">
        <v>0.884352773636944</v>
      </c>
    </row>
    <row r="301" spans="1:12">
      <c r="A301" s="1">
        <v>70</v>
      </c>
      <c r="B301" s="1">
        <v>8</v>
      </c>
      <c r="C301" s="1">
        <v>0.03</v>
      </c>
      <c r="D301" s="1">
        <v>1</v>
      </c>
      <c r="E301" s="2">
        <v>2</v>
      </c>
      <c r="F301" s="1">
        <v>20.7</v>
      </c>
      <c r="G301" s="3">
        <v>0.784179277129304</v>
      </c>
      <c r="H301" s="4">
        <v>21.1</v>
      </c>
      <c r="I301" s="1">
        <v>34.3</v>
      </c>
      <c r="J301" s="4">
        <v>637.808662124137</v>
      </c>
      <c r="K301" s="13">
        <v>158.331235722151</v>
      </c>
      <c r="L301" s="9">
        <v>0.887332630551146</v>
      </c>
    </row>
    <row r="302" spans="1:12">
      <c r="A302" s="1">
        <v>45</v>
      </c>
      <c r="B302" s="1">
        <v>4.8</v>
      </c>
      <c r="C302" s="1">
        <v>0.06</v>
      </c>
      <c r="D302" s="1">
        <v>1</v>
      </c>
      <c r="E302" s="2">
        <v>2</v>
      </c>
      <c r="F302" s="1">
        <v>20.7</v>
      </c>
      <c r="G302" s="3">
        <v>0.93913980595102</v>
      </c>
      <c r="H302" s="4">
        <v>20.9</v>
      </c>
      <c r="I302" s="1">
        <v>2.9</v>
      </c>
      <c r="J302" s="4">
        <v>108.013034375791</v>
      </c>
      <c r="K302" s="13">
        <v>23.807850072119</v>
      </c>
      <c r="L302" s="9">
        <v>0.686135638766561</v>
      </c>
    </row>
    <row r="303" spans="1:12">
      <c r="A303" s="1">
        <v>50</v>
      </c>
      <c r="B303" s="1">
        <v>4.8</v>
      </c>
      <c r="C303" s="1">
        <v>0.06</v>
      </c>
      <c r="D303" s="1">
        <v>1</v>
      </c>
      <c r="E303" s="2">
        <v>2</v>
      </c>
      <c r="F303" s="1">
        <v>20.7</v>
      </c>
      <c r="G303" s="3">
        <v>0.920818198615511</v>
      </c>
      <c r="H303" s="4">
        <v>20.9</v>
      </c>
      <c r="I303" s="1">
        <v>3.9</v>
      </c>
      <c r="J303" s="4">
        <v>145.253739575293</v>
      </c>
      <c r="K303" s="13">
        <v>27.9220749805736</v>
      </c>
      <c r="L303" s="9">
        <v>0.746539816864019</v>
      </c>
    </row>
    <row r="304" spans="1:12">
      <c r="A304" s="1">
        <v>55</v>
      </c>
      <c r="B304" s="1">
        <v>4.8</v>
      </c>
      <c r="C304" s="1">
        <v>0.06</v>
      </c>
      <c r="D304" s="1">
        <v>1</v>
      </c>
      <c r="E304" s="2">
        <v>2</v>
      </c>
      <c r="F304" s="1">
        <v>20.7</v>
      </c>
      <c r="G304" s="3">
        <v>0.89760467536325</v>
      </c>
      <c r="H304" s="4">
        <v>20.9</v>
      </c>
      <c r="I304" s="1">
        <v>5.3</v>
      </c>
      <c r="J304" s="4">
        <v>193.593603428579</v>
      </c>
      <c r="K304" s="13">
        <v>33.4536048090208</v>
      </c>
      <c r="L304" s="9">
        <v>0.825178552675255</v>
      </c>
    </row>
    <row r="305" spans="1:12">
      <c r="A305" s="1">
        <v>60</v>
      </c>
      <c r="B305" s="1">
        <v>4.8</v>
      </c>
      <c r="C305" s="1">
        <v>0.06</v>
      </c>
      <c r="D305" s="1">
        <v>1</v>
      </c>
      <c r="E305" s="2">
        <v>2</v>
      </c>
      <c r="F305" s="1">
        <v>20.7</v>
      </c>
      <c r="G305" s="3">
        <v>0.868253123396246</v>
      </c>
      <c r="H305" s="4">
        <v>20.9</v>
      </c>
      <c r="I305" s="1">
        <v>6.8</v>
      </c>
      <c r="J305" s="4">
        <v>248.23226012053</v>
      </c>
      <c r="K305" s="13">
        <v>39.1229258800365</v>
      </c>
      <c r="L305" s="9">
        <v>0.865345912424899</v>
      </c>
    </row>
    <row r="306" spans="1:12">
      <c r="A306" s="1">
        <v>65</v>
      </c>
      <c r="B306" s="1">
        <v>4.8</v>
      </c>
      <c r="C306" s="1">
        <v>0.06</v>
      </c>
      <c r="D306" s="1">
        <v>1</v>
      </c>
      <c r="E306" s="2">
        <v>2</v>
      </c>
      <c r="F306" s="1">
        <v>20.7</v>
      </c>
      <c r="G306" s="3">
        <v>0.831152647810126</v>
      </c>
      <c r="H306" s="4">
        <v>20.9</v>
      </c>
      <c r="I306" s="1">
        <v>8.4</v>
      </c>
      <c r="J306" s="4">
        <v>309.915736972843</v>
      </c>
      <c r="K306" s="13">
        <v>45.0564978874872</v>
      </c>
      <c r="L306" s="9">
        <v>0.877803135260074</v>
      </c>
    </row>
    <row r="307" spans="1:12">
      <c r="A307" s="1">
        <v>70</v>
      </c>
      <c r="B307" s="1">
        <v>4.8</v>
      </c>
      <c r="C307" s="1">
        <v>0.06</v>
      </c>
      <c r="D307" s="1">
        <v>1</v>
      </c>
      <c r="E307" s="2">
        <v>2</v>
      </c>
      <c r="F307" s="1">
        <v>20.7</v>
      </c>
      <c r="G307" s="3">
        <v>0.784179277129304</v>
      </c>
      <c r="H307" s="4">
        <v>21</v>
      </c>
      <c r="I307" s="1">
        <v>9.8</v>
      </c>
      <c r="J307" s="4">
        <v>373.877816735781</v>
      </c>
      <c r="K307" s="13">
        <v>46.5465814379474</v>
      </c>
      <c r="L307" s="9">
        <v>0.844946144397472</v>
      </c>
    </row>
    <row r="308" spans="1:12">
      <c r="A308" s="1">
        <v>45</v>
      </c>
      <c r="B308" s="1">
        <v>5.5</v>
      </c>
      <c r="C308" s="1">
        <v>0.06</v>
      </c>
      <c r="D308" s="1">
        <v>1</v>
      </c>
      <c r="E308" s="2">
        <v>2</v>
      </c>
      <c r="F308" s="1">
        <v>20.7</v>
      </c>
      <c r="G308" s="3">
        <v>0.93913980595102</v>
      </c>
      <c r="H308" s="4">
        <v>21.1</v>
      </c>
      <c r="I308" s="1">
        <v>3.2</v>
      </c>
      <c r="J308" s="4">
        <v>121.210438939514</v>
      </c>
      <c r="K308" s="13">
        <v>23.2206630671463</v>
      </c>
      <c r="L308" s="9">
        <v>0.660970883102306</v>
      </c>
    </row>
    <row r="309" spans="1:12">
      <c r="A309" s="1">
        <v>50</v>
      </c>
      <c r="B309" s="1">
        <v>5.5</v>
      </c>
      <c r="C309" s="1">
        <v>0.06</v>
      </c>
      <c r="D309" s="1">
        <v>1</v>
      </c>
      <c r="E309" s="2">
        <v>2</v>
      </c>
      <c r="F309" s="1">
        <v>20.7</v>
      </c>
      <c r="G309" s="3">
        <v>0.920818198615511</v>
      </c>
      <c r="H309" s="4">
        <v>21.1</v>
      </c>
      <c r="I309" s="1">
        <v>4.5</v>
      </c>
      <c r="J309" s="4">
        <v>166.696598877075</v>
      </c>
      <c r="K309" s="13">
        <v>28.1958715203133</v>
      </c>
      <c r="L309" s="9">
        <v>0.752003920080684</v>
      </c>
    </row>
    <row r="310" spans="1:12">
      <c r="A310" s="1">
        <v>55</v>
      </c>
      <c r="B310" s="1">
        <v>5.5</v>
      </c>
      <c r="C310" s="1">
        <v>0.06</v>
      </c>
      <c r="D310" s="1">
        <v>1</v>
      </c>
      <c r="E310" s="2">
        <v>2</v>
      </c>
      <c r="F310" s="1">
        <v>20.7</v>
      </c>
      <c r="G310" s="3">
        <v>0.89760467536325</v>
      </c>
      <c r="H310" s="4">
        <v>21.1</v>
      </c>
      <c r="I310" s="1">
        <v>5.8</v>
      </c>
      <c r="J310" s="4">
        <v>216.546086278134</v>
      </c>
      <c r="K310" s="13">
        <v>32.8764338571785</v>
      </c>
      <c r="L310" s="9">
        <v>0.788348321863001</v>
      </c>
    </row>
    <row r="311" spans="1:12">
      <c r="A311" s="1">
        <v>60</v>
      </c>
      <c r="B311" s="1">
        <v>5.5</v>
      </c>
      <c r="C311" s="1">
        <v>0.06</v>
      </c>
      <c r="D311" s="1">
        <v>1</v>
      </c>
      <c r="E311" s="2">
        <v>2</v>
      </c>
      <c r="F311" s="1">
        <v>20.7</v>
      </c>
      <c r="G311" s="3">
        <v>0.868253123396246</v>
      </c>
      <c r="H311" s="4">
        <v>21.1</v>
      </c>
      <c r="I311" s="1">
        <v>7.6</v>
      </c>
      <c r="J311" s="4">
        <v>280.639459497885</v>
      </c>
      <c r="K311" s="13">
        <v>39.2053092943348</v>
      </c>
      <c r="L311" s="9">
        <v>0.844328416520428</v>
      </c>
    </row>
    <row r="312" spans="1:12">
      <c r="A312" s="1">
        <v>65</v>
      </c>
      <c r="B312" s="1">
        <v>5.5</v>
      </c>
      <c r="C312" s="1">
        <v>0.06</v>
      </c>
      <c r="D312" s="1">
        <v>1</v>
      </c>
      <c r="E312" s="2">
        <v>2</v>
      </c>
      <c r="F312" s="1">
        <v>20.7</v>
      </c>
      <c r="G312" s="3">
        <v>0.831152647810126</v>
      </c>
      <c r="H312" s="4">
        <v>21.1</v>
      </c>
      <c r="I312" s="1">
        <v>9.2</v>
      </c>
      <c r="J312" s="4">
        <v>347.071259660673</v>
      </c>
      <c r="K312" s="13">
        <v>44.7541074065086</v>
      </c>
      <c r="L312" s="9">
        <v>0.839308370595474</v>
      </c>
    </row>
    <row r="313" spans="1:12">
      <c r="A313" s="1">
        <v>70</v>
      </c>
      <c r="B313" s="1">
        <v>5.5</v>
      </c>
      <c r="C313" s="1">
        <v>0.06</v>
      </c>
      <c r="D313" s="1">
        <v>1</v>
      </c>
      <c r="E313" s="2">
        <v>2</v>
      </c>
      <c r="F313" s="1">
        <v>20.7</v>
      </c>
      <c r="G313" s="3">
        <v>0.784179277129304</v>
      </c>
      <c r="H313" s="4">
        <v>21.1</v>
      </c>
      <c r="I313" s="1">
        <v>12</v>
      </c>
      <c r="J313" s="4">
        <v>442.310186981177</v>
      </c>
      <c r="K313" s="13">
        <v>54.3632070444029</v>
      </c>
      <c r="L313" s="9">
        <v>0.903089663746727</v>
      </c>
    </row>
    <row r="314" spans="1:12">
      <c r="A314" s="1">
        <v>45</v>
      </c>
      <c r="B314" s="1">
        <v>6.6</v>
      </c>
      <c r="C314" s="1">
        <v>0.06</v>
      </c>
      <c r="D314" s="1">
        <v>1</v>
      </c>
      <c r="E314" s="2">
        <v>2</v>
      </c>
      <c r="F314" s="1">
        <v>20.7</v>
      </c>
      <c r="G314" s="3">
        <v>0.93913980595102</v>
      </c>
      <c r="H314" s="4">
        <v>21.1</v>
      </c>
      <c r="I314" s="1">
        <v>3.8</v>
      </c>
      <c r="J314" s="4">
        <v>144.723360060751</v>
      </c>
      <c r="K314" s="13">
        <v>28.3450105394663</v>
      </c>
      <c r="L314" s="9">
        <v>0.654085769736657</v>
      </c>
    </row>
    <row r="315" spans="1:12">
      <c r="A315" s="1">
        <v>50</v>
      </c>
      <c r="B315" s="1">
        <v>6.6</v>
      </c>
      <c r="C315" s="1">
        <v>0.06</v>
      </c>
      <c r="D315" s="1">
        <v>1</v>
      </c>
      <c r="E315" s="2">
        <v>2</v>
      </c>
      <c r="F315" s="1">
        <v>20.7</v>
      </c>
      <c r="G315" s="3">
        <v>0.920818198615511</v>
      </c>
      <c r="H315" s="4">
        <v>21.1</v>
      </c>
      <c r="I315" s="1">
        <v>5.1</v>
      </c>
      <c r="J315" s="4">
        <v>194.56716865249</v>
      </c>
      <c r="K315" s="13">
        <v>33.5394833414341</v>
      </c>
      <c r="L315" s="9">
        <v>0.710225924520646</v>
      </c>
    </row>
    <row r="316" spans="1:12">
      <c r="A316" s="1">
        <v>55</v>
      </c>
      <c r="B316" s="1">
        <v>6.6</v>
      </c>
      <c r="C316" s="1">
        <v>0.06</v>
      </c>
      <c r="D316" s="1">
        <v>1</v>
      </c>
      <c r="E316" s="2">
        <v>2</v>
      </c>
      <c r="F316" s="1">
        <v>20.8</v>
      </c>
      <c r="G316" s="3">
        <v>0.89760467536325</v>
      </c>
      <c r="H316" s="4">
        <v>21.1</v>
      </c>
      <c r="I316" s="1">
        <v>7</v>
      </c>
      <c r="J316" s="4">
        <v>260.584470200428</v>
      </c>
      <c r="K316" s="13">
        <v>43.661846107656</v>
      </c>
      <c r="L316" s="9">
        <v>0.792879059344972</v>
      </c>
    </row>
    <row r="317" spans="1:12">
      <c r="A317" s="1">
        <v>60</v>
      </c>
      <c r="B317" s="1">
        <v>6.6</v>
      </c>
      <c r="C317" s="1">
        <v>0.06</v>
      </c>
      <c r="D317" s="1">
        <v>1</v>
      </c>
      <c r="E317" s="2">
        <v>2</v>
      </c>
      <c r="F317" s="1">
        <v>20.8</v>
      </c>
      <c r="G317" s="3">
        <v>0.868253123396246</v>
      </c>
      <c r="H317" s="4">
        <v>21.1</v>
      </c>
      <c r="I317" s="1">
        <v>8.7</v>
      </c>
      <c r="J317" s="4">
        <v>329.111101397462</v>
      </c>
      <c r="K317" s="13">
        <v>50.3659804239665</v>
      </c>
      <c r="L317" s="9">
        <v>0.805444871022776</v>
      </c>
    </row>
    <row r="318" spans="1:12">
      <c r="A318" s="1">
        <v>65</v>
      </c>
      <c r="B318" s="1">
        <v>6.6</v>
      </c>
      <c r="C318" s="1">
        <v>0.06</v>
      </c>
      <c r="D318" s="1">
        <v>1</v>
      </c>
      <c r="E318" s="2">
        <v>2</v>
      </c>
      <c r="F318" s="1">
        <v>20.8</v>
      </c>
      <c r="G318" s="3">
        <v>0.831152647810126</v>
      </c>
      <c r="H318" s="4">
        <v>21.1</v>
      </c>
      <c r="I318" s="1">
        <v>11.5</v>
      </c>
      <c r="J318" s="4">
        <v>424.870928259474</v>
      </c>
      <c r="K318" s="13">
        <v>61.5190533799634</v>
      </c>
      <c r="L318" s="9">
        <v>0.874279552703619</v>
      </c>
    </row>
    <row r="319" spans="1:12">
      <c r="A319" s="1">
        <v>70</v>
      </c>
      <c r="B319" s="1">
        <v>6.6</v>
      </c>
      <c r="C319" s="1">
        <v>0.06</v>
      </c>
      <c r="D319" s="1">
        <v>1</v>
      </c>
      <c r="E319" s="2">
        <v>2</v>
      </c>
      <c r="F319" s="1">
        <v>20.8</v>
      </c>
      <c r="G319" s="3">
        <v>0.784179277129304</v>
      </c>
      <c r="H319" s="4">
        <v>21.2</v>
      </c>
      <c r="I319" s="1">
        <v>14.4</v>
      </c>
      <c r="J319" s="4">
        <v>530.599990654333</v>
      </c>
      <c r="K319" s="13">
        <v>68.8840350587568</v>
      </c>
      <c r="L319" s="9">
        <v>0.90323131418558</v>
      </c>
    </row>
    <row r="320" spans="1:12">
      <c r="A320" s="1">
        <v>45</v>
      </c>
      <c r="B320" s="1">
        <v>8</v>
      </c>
      <c r="C320" s="1">
        <v>0.06</v>
      </c>
      <c r="D320" s="1">
        <v>1</v>
      </c>
      <c r="E320" s="2">
        <v>2</v>
      </c>
      <c r="F320" s="1">
        <v>20.8</v>
      </c>
      <c r="G320" s="3">
        <v>0.93913980595102</v>
      </c>
      <c r="H320" s="4">
        <v>21</v>
      </c>
      <c r="I320" s="1">
        <v>4.6</v>
      </c>
      <c r="J320" s="4">
        <v>175.54041453142</v>
      </c>
      <c r="K320" s="13">
        <v>41.4869634958202</v>
      </c>
      <c r="L320" s="9">
        <v>0.653118489937407</v>
      </c>
    </row>
    <row r="321" spans="1:12">
      <c r="A321" s="1">
        <v>50</v>
      </c>
      <c r="B321" s="1">
        <v>8</v>
      </c>
      <c r="C321" s="1">
        <v>0.06</v>
      </c>
      <c r="D321" s="1">
        <v>1</v>
      </c>
      <c r="E321" s="2">
        <v>2</v>
      </c>
      <c r="F321" s="1">
        <v>20.8</v>
      </c>
      <c r="G321" s="3">
        <v>0.920818198615511</v>
      </c>
      <c r="H321" s="4">
        <v>21.2</v>
      </c>
      <c r="I321" s="1">
        <v>6.4</v>
      </c>
      <c r="J321" s="4">
        <v>239.589912377326</v>
      </c>
      <c r="K321" s="13">
        <v>43.2443883481034</v>
      </c>
      <c r="L321" s="9">
        <v>0.73541178832887</v>
      </c>
    </row>
    <row r="322" spans="1:12">
      <c r="A322" s="1">
        <v>55</v>
      </c>
      <c r="B322" s="1">
        <v>8</v>
      </c>
      <c r="C322" s="1">
        <v>0.06</v>
      </c>
      <c r="D322" s="1">
        <v>1</v>
      </c>
      <c r="E322" s="2">
        <v>2</v>
      </c>
      <c r="F322" s="1">
        <v>20.8</v>
      </c>
      <c r="G322" s="3">
        <v>0.89760467536325</v>
      </c>
      <c r="H322" s="4">
        <v>21.2</v>
      </c>
      <c r="I322" s="1">
        <v>8.2</v>
      </c>
      <c r="J322" s="4">
        <v>310.444581836723</v>
      </c>
      <c r="K322" s="13">
        <v>50.6217152510661</v>
      </c>
      <c r="L322" s="9">
        <v>0.766384061263034</v>
      </c>
    </row>
    <row r="323" spans="1:12">
      <c r="A323" s="1">
        <v>60</v>
      </c>
      <c r="B323" s="1">
        <v>8</v>
      </c>
      <c r="C323" s="1">
        <v>0.06</v>
      </c>
      <c r="D323" s="1">
        <v>1</v>
      </c>
      <c r="E323" s="2">
        <v>2</v>
      </c>
      <c r="F323" s="1">
        <v>20.8</v>
      </c>
      <c r="G323" s="3">
        <v>0.868253123396246</v>
      </c>
      <c r="H323" s="4">
        <v>21.2</v>
      </c>
      <c r="I323" s="1">
        <v>11</v>
      </c>
      <c r="J323" s="4">
        <v>406.989736271082</v>
      </c>
      <c r="K323" s="13">
        <v>62.3018235410354</v>
      </c>
      <c r="L323" s="9">
        <v>0.840296202510218</v>
      </c>
    </row>
    <row r="324" spans="1:12">
      <c r="A324" s="1">
        <v>65</v>
      </c>
      <c r="B324" s="1">
        <v>8</v>
      </c>
      <c r="C324" s="1">
        <v>0.06</v>
      </c>
      <c r="D324" s="1">
        <v>1</v>
      </c>
      <c r="E324" s="2">
        <v>2</v>
      </c>
      <c r="F324" s="1">
        <v>20.8</v>
      </c>
      <c r="G324" s="3">
        <v>0.831152647810126</v>
      </c>
      <c r="H324" s="4">
        <v>21.2</v>
      </c>
      <c r="I324" s="1">
        <v>14.2</v>
      </c>
      <c r="J324" s="4">
        <v>519.531550319989</v>
      </c>
      <c r="K324" s="13">
        <v>75.7794355781637</v>
      </c>
      <c r="L324" s="9">
        <v>0.890765578660844</v>
      </c>
    </row>
    <row r="325" spans="1:12">
      <c r="A325" s="1">
        <v>70</v>
      </c>
      <c r="B325" s="1">
        <v>8</v>
      </c>
      <c r="C325" s="1">
        <v>0.06</v>
      </c>
      <c r="D325" s="1">
        <v>1</v>
      </c>
      <c r="E325" s="2">
        <v>2</v>
      </c>
      <c r="F325" s="1">
        <v>20.8</v>
      </c>
      <c r="G325" s="3">
        <v>0.784179277129304</v>
      </c>
      <c r="H325" s="4">
        <v>21.2</v>
      </c>
      <c r="I325" s="1">
        <v>17.1</v>
      </c>
      <c r="J325" s="4">
        <v>636.688435641615</v>
      </c>
      <c r="K325" s="13">
        <v>88.0748338158714</v>
      </c>
      <c r="L325" s="9">
        <v>0.884884428116185</v>
      </c>
    </row>
    <row r="326" spans="1:12">
      <c r="A326" s="1">
        <v>45</v>
      </c>
      <c r="B326" s="1">
        <v>4.8</v>
      </c>
      <c r="C326" s="1">
        <v>0.12</v>
      </c>
      <c r="D326" s="1">
        <v>1</v>
      </c>
      <c r="E326" s="2">
        <v>2</v>
      </c>
      <c r="F326" s="1">
        <v>21.5</v>
      </c>
      <c r="G326" s="3">
        <v>0.93913980595102</v>
      </c>
      <c r="H326" s="4">
        <v>21.8</v>
      </c>
      <c r="I326" s="1">
        <v>1.4</v>
      </c>
      <c r="J326" s="4">
        <v>104.942247226133</v>
      </c>
      <c r="K326" s="13">
        <v>20.6974533204811</v>
      </c>
      <c r="L326" s="9">
        <v>0.663449464458009</v>
      </c>
    </row>
    <row r="327" spans="1:12">
      <c r="A327" s="1">
        <v>50</v>
      </c>
      <c r="B327" s="1">
        <v>4.8</v>
      </c>
      <c r="C327" s="1">
        <v>0.12</v>
      </c>
      <c r="D327" s="1">
        <v>1</v>
      </c>
      <c r="E327" s="2">
        <v>2</v>
      </c>
      <c r="F327" s="1">
        <v>21.5</v>
      </c>
      <c r="G327" s="3">
        <v>0.920818198615511</v>
      </c>
      <c r="H327" s="4">
        <v>21.8</v>
      </c>
      <c r="I327" s="1">
        <v>1.9</v>
      </c>
      <c r="J327" s="4">
        <v>142.200006746135</v>
      </c>
      <c r="K327" s="13">
        <v>24.2490698827295</v>
      </c>
      <c r="L327" s="9">
        <v>0.728458206045811</v>
      </c>
    </row>
    <row r="328" spans="1:12">
      <c r="A328" s="1">
        <v>55</v>
      </c>
      <c r="B328" s="1">
        <v>4.8</v>
      </c>
      <c r="C328" s="1">
        <v>0.12</v>
      </c>
      <c r="D328" s="1">
        <v>1</v>
      </c>
      <c r="E328" s="2">
        <v>2</v>
      </c>
      <c r="F328" s="1">
        <v>21.5</v>
      </c>
      <c r="G328" s="3">
        <v>0.89760467536325</v>
      </c>
      <c r="H328" s="4">
        <v>21.8</v>
      </c>
      <c r="I328" s="1">
        <v>2.5</v>
      </c>
      <c r="J328" s="4">
        <v>186.913459469741</v>
      </c>
      <c r="K328" s="13">
        <v>28.2376921866186</v>
      </c>
      <c r="L328" s="9">
        <v>0.779596106718387</v>
      </c>
    </row>
    <row r="329" spans="1:12">
      <c r="A329" s="1">
        <v>60</v>
      </c>
      <c r="B329" s="1">
        <v>4.8</v>
      </c>
      <c r="C329" s="1">
        <v>0.12</v>
      </c>
      <c r="D329" s="1">
        <v>1</v>
      </c>
      <c r="E329" s="2">
        <v>2</v>
      </c>
      <c r="F329" s="1">
        <v>21.5</v>
      </c>
      <c r="G329" s="3">
        <v>0.868253123396246</v>
      </c>
      <c r="H329" s="4">
        <v>21.8</v>
      </c>
      <c r="I329" s="1">
        <v>3.2</v>
      </c>
      <c r="J329" s="4">
        <v>239.751472073695</v>
      </c>
      <c r="K329" s="13">
        <v>32.6600125450468</v>
      </c>
      <c r="L329" s="9">
        <v>0.815611620278043</v>
      </c>
    </row>
    <row r="330" spans="1:12">
      <c r="A330" s="1">
        <v>65</v>
      </c>
      <c r="B330" s="1">
        <v>4.8</v>
      </c>
      <c r="C330" s="1">
        <v>0.12</v>
      </c>
      <c r="D330" s="1">
        <v>1</v>
      </c>
      <c r="E330" s="2">
        <v>2</v>
      </c>
      <c r="F330" s="1">
        <v>21.5</v>
      </c>
      <c r="G330" s="3">
        <v>0.831152647810126</v>
      </c>
      <c r="H330" s="4">
        <v>21.8</v>
      </c>
      <c r="I330" s="1">
        <v>4.1</v>
      </c>
      <c r="J330" s="4">
        <v>305.106455314382</v>
      </c>
      <c r="K330" s="13">
        <v>38.0621365854329</v>
      </c>
      <c r="L330" s="9">
        <v>0.858122662235317</v>
      </c>
    </row>
    <row r="331" spans="1:12">
      <c r="A331" s="1">
        <v>70</v>
      </c>
      <c r="B331" s="1">
        <v>4.8</v>
      </c>
      <c r="C331" s="1">
        <v>0.12</v>
      </c>
      <c r="D331" s="1">
        <v>1</v>
      </c>
      <c r="E331" s="2">
        <v>2</v>
      </c>
      <c r="F331" s="1">
        <v>21.5</v>
      </c>
      <c r="G331" s="3">
        <v>0.784179277129304</v>
      </c>
      <c r="H331" s="4">
        <v>21.8</v>
      </c>
      <c r="I331" s="1">
        <v>5.3</v>
      </c>
      <c r="J331" s="4">
        <v>387.451961126437</v>
      </c>
      <c r="K331" s="13">
        <v>44.8849396119573</v>
      </c>
      <c r="L331" s="9">
        <v>0.915068314939759</v>
      </c>
    </row>
    <row r="332" spans="1:12">
      <c r="A332" s="1">
        <v>45</v>
      </c>
      <c r="B332" s="1">
        <v>5.5</v>
      </c>
      <c r="C332" s="1">
        <v>0.12</v>
      </c>
      <c r="D332" s="1">
        <v>1</v>
      </c>
      <c r="E332" s="2">
        <v>2</v>
      </c>
      <c r="F332" s="1">
        <v>21.5</v>
      </c>
      <c r="G332" s="3">
        <v>0.93913980595102</v>
      </c>
      <c r="H332" s="4">
        <v>21.8</v>
      </c>
      <c r="I332" s="1">
        <v>1.5</v>
      </c>
      <c r="J332" s="4">
        <v>116.448581891055</v>
      </c>
      <c r="K332" s="13">
        <v>23.0483150210956</v>
      </c>
      <c r="L332" s="9">
        <v>0.620368330402295</v>
      </c>
    </row>
    <row r="333" spans="1:12">
      <c r="A333" s="1">
        <v>50</v>
      </c>
      <c r="B333" s="1">
        <v>5.5</v>
      </c>
      <c r="C333" s="1">
        <v>0.12</v>
      </c>
      <c r="D333" s="1">
        <v>1</v>
      </c>
      <c r="E333" s="2">
        <v>2</v>
      </c>
      <c r="F333" s="1">
        <v>21.5</v>
      </c>
      <c r="G333" s="3">
        <v>0.920818198615511</v>
      </c>
      <c r="H333" s="4">
        <v>21.8</v>
      </c>
      <c r="I333" s="1">
        <v>2.2</v>
      </c>
      <c r="J333" s="4">
        <v>163.773011202169</v>
      </c>
      <c r="K333" s="13">
        <v>28.1786693105068</v>
      </c>
      <c r="L333" s="9">
        <v>0.736126187162083</v>
      </c>
    </row>
    <row r="334" spans="1:12">
      <c r="A334" s="1">
        <v>55</v>
      </c>
      <c r="B334" s="1">
        <v>5.5</v>
      </c>
      <c r="C334" s="1">
        <v>0.12</v>
      </c>
      <c r="D334" s="1">
        <v>1</v>
      </c>
      <c r="E334" s="2">
        <v>2</v>
      </c>
      <c r="F334" s="1">
        <v>21.5</v>
      </c>
      <c r="G334" s="3">
        <v>0.89760467536325</v>
      </c>
      <c r="H334" s="4">
        <v>21.8</v>
      </c>
      <c r="I334" s="1">
        <v>2.9</v>
      </c>
      <c r="J334" s="4">
        <v>215.462904947967</v>
      </c>
      <c r="K334" s="13">
        <v>32.8881213747723</v>
      </c>
      <c r="L334" s="9">
        <v>0.789234749492359</v>
      </c>
    </row>
    <row r="335" spans="1:12">
      <c r="A335" s="1">
        <v>60</v>
      </c>
      <c r="B335" s="1">
        <v>5.5</v>
      </c>
      <c r="C335" s="1">
        <v>0.12</v>
      </c>
      <c r="D335" s="1">
        <v>1</v>
      </c>
      <c r="E335" s="2">
        <v>2</v>
      </c>
      <c r="F335" s="1">
        <v>21.5</v>
      </c>
      <c r="G335" s="3">
        <v>0.868253123396246</v>
      </c>
      <c r="H335" s="4">
        <v>21.8</v>
      </c>
      <c r="I335" s="1">
        <v>3.8</v>
      </c>
      <c r="J335" s="4">
        <v>279.576339528887</v>
      </c>
      <c r="K335" s="13">
        <v>38.6100816414497</v>
      </c>
      <c r="L335" s="9">
        <v>0.845270224651791</v>
      </c>
    </row>
    <row r="336" spans="1:12">
      <c r="A336" s="1">
        <v>65</v>
      </c>
      <c r="B336" s="1">
        <v>5.5</v>
      </c>
      <c r="C336" s="1">
        <v>0.12</v>
      </c>
      <c r="D336" s="1">
        <v>1</v>
      </c>
      <c r="E336" s="2">
        <v>2</v>
      </c>
      <c r="F336" s="1">
        <v>21.5</v>
      </c>
      <c r="G336" s="3">
        <v>0.831152647810126</v>
      </c>
      <c r="H336" s="4">
        <v>21.8</v>
      </c>
      <c r="I336" s="1">
        <v>4.5</v>
      </c>
      <c r="J336" s="4">
        <v>342.38543490884</v>
      </c>
      <c r="K336" s="13">
        <v>43.0638992184236</v>
      </c>
      <c r="L336" s="9">
        <v>0.821971153183275</v>
      </c>
    </row>
    <row r="337" spans="1:12">
      <c r="A337" s="1">
        <v>70</v>
      </c>
      <c r="B337" s="1">
        <v>5.5</v>
      </c>
      <c r="C337" s="1">
        <v>0.12</v>
      </c>
      <c r="D337" s="1">
        <v>1</v>
      </c>
      <c r="E337" s="2">
        <v>2</v>
      </c>
      <c r="F337" s="1">
        <v>21.5</v>
      </c>
      <c r="G337" s="3">
        <v>0.784179277129304</v>
      </c>
      <c r="H337" s="4">
        <v>22</v>
      </c>
      <c r="I337" s="1">
        <v>6</v>
      </c>
      <c r="J337" s="4">
        <v>441.003744008872</v>
      </c>
      <c r="K337" s="13">
        <v>46.6482342247131</v>
      </c>
      <c r="L337" s="9">
        <v>0.904364517696405</v>
      </c>
    </row>
    <row r="338" spans="1:12">
      <c r="A338" s="1">
        <v>45</v>
      </c>
      <c r="B338" s="1">
        <v>6.6</v>
      </c>
      <c r="C338" s="1">
        <v>0.12</v>
      </c>
      <c r="D338" s="1">
        <v>1</v>
      </c>
      <c r="E338" s="2">
        <v>2</v>
      </c>
      <c r="F338" s="1">
        <v>21.5</v>
      </c>
      <c r="G338" s="3">
        <v>0.93913980595102</v>
      </c>
      <c r="H338" s="4">
        <v>21.9</v>
      </c>
      <c r="I338" s="1">
        <v>1.8</v>
      </c>
      <c r="J338" s="4">
        <v>139.544246472417</v>
      </c>
      <c r="K338" s="13">
        <v>26.1635831120806</v>
      </c>
      <c r="L338" s="9">
        <v>0.62046949147285</v>
      </c>
    </row>
    <row r="339" spans="1:12">
      <c r="A339" s="1">
        <v>50</v>
      </c>
      <c r="B339" s="1">
        <v>6.6</v>
      </c>
      <c r="C339" s="1">
        <v>0.12</v>
      </c>
      <c r="D339" s="1">
        <v>1</v>
      </c>
      <c r="E339" s="2">
        <v>2</v>
      </c>
      <c r="F339" s="1">
        <v>21.5</v>
      </c>
      <c r="G339" s="3">
        <v>0.920818198615511</v>
      </c>
      <c r="H339" s="4">
        <v>21.9</v>
      </c>
      <c r="I339" s="1">
        <v>2.6</v>
      </c>
      <c r="J339" s="4">
        <v>194.877967446336</v>
      </c>
      <c r="K339" s="13">
        <v>31.8723580680552</v>
      </c>
      <c r="L339" s="9">
        <v>0.725090022518615</v>
      </c>
    </row>
    <row r="340" spans="1:12">
      <c r="A340" s="1">
        <v>55</v>
      </c>
      <c r="B340" s="1">
        <v>6.6</v>
      </c>
      <c r="C340" s="1">
        <v>0.12</v>
      </c>
      <c r="D340" s="1">
        <v>1</v>
      </c>
      <c r="E340" s="2">
        <v>2</v>
      </c>
      <c r="F340" s="1">
        <v>21.5</v>
      </c>
      <c r="G340" s="3">
        <v>0.89760467536325</v>
      </c>
      <c r="H340" s="4">
        <v>21.9</v>
      </c>
      <c r="I340" s="1">
        <v>3.5</v>
      </c>
      <c r="J340" s="4">
        <v>259.096464029833</v>
      </c>
      <c r="K340" s="13">
        <v>37.7920913414896</v>
      </c>
      <c r="L340" s="9">
        <v>0.793897941677569</v>
      </c>
    </row>
    <row r="341" spans="1:12">
      <c r="A341" s="1">
        <v>60</v>
      </c>
      <c r="B341" s="1">
        <v>6.6</v>
      </c>
      <c r="C341" s="1">
        <v>0.12</v>
      </c>
      <c r="D341" s="1">
        <v>1</v>
      </c>
      <c r="E341" s="2">
        <v>2</v>
      </c>
      <c r="F341" s="1">
        <v>21.5</v>
      </c>
      <c r="G341" s="3">
        <v>0.868253123396246</v>
      </c>
      <c r="H341" s="4">
        <v>21.9</v>
      </c>
      <c r="I341" s="1">
        <v>4.5</v>
      </c>
      <c r="J341" s="4">
        <v>333.119505711689</v>
      </c>
      <c r="K341" s="13">
        <v>44.0456485301033</v>
      </c>
      <c r="L341" s="9">
        <v>0.834281021714365</v>
      </c>
    </row>
    <row r="342" spans="1:12">
      <c r="A342" s="1">
        <v>65</v>
      </c>
      <c r="B342" s="1">
        <v>6.6</v>
      </c>
      <c r="C342" s="1">
        <v>0.12</v>
      </c>
      <c r="D342" s="1">
        <v>1</v>
      </c>
      <c r="E342" s="2">
        <v>2</v>
      </c>
      <c r="F342" s="1">
        <v>21.5</v>
      </c>
      <c r="G342" s="3">
        <v>0.831152647810126</v>
      </c>
      <c r="H342" s="4">
        <v>21.9</v>
      </c>
      <c r="I342" s="1">
        <v>5.7</v>
      </c>
      <c r="J342" s="4">
        <v>421.619558389004</v>
      </c>
      <c r="K342" s="13">
        <v>51.277504104547</v>
      </c>
      <c r="L342" s="9">
        <v>0.867773230883079</v>
      </c>
    </row>
    <row r="343" spans="1:12">
      <c r="A343" s="1">
        <v>70</v>
      </c>
      <c r="B343" s="1">
        <v>6.6</v>
      </c>
      <c r="C343" s="1">
        <v>0.12</v>
      </c>
      <c r="D343" s="1">
        <v>1</v>
      </c>
      <c r="E343" s="2">
        <v>2</v>
      </c>
      <c r="F343" s="1">
        <v>21.5</v>
      </c>
      <c r="G343" s="3">
        <v>0.784179277129304</v>
      </c>
      <c r="H343" s="4">
        <v>22</v>
      </c>
      <c r="I343" s="1">
        <v>7</v>
      </c>
      <c r="J343" s="4">
        <v>521.912826143979</v>
      </c>
      <c r="K343" s="13">
        <v>56.2499899974366</v>
      </c>
      <c r="L343" s="9">
        <v>0.879243281093727</v>
      </c>
    </row>
    <row r="344" spans="1:12">
      <c r="A344" s="1">
        <v>45</v>
      </c>
      <c r="B344" s="1">
        <v>8</v>
      </c>
      <c r="C344" s="1">
        <v>0.12</v>
      </c>
      <c r="D344" s="1">
        <v>1</v>
      </c>
      <c r="E344" s="2">
        <v>2</v>
      </c>
      <c r="F344" s="1">
        <v>21.4</v>
      </c>
      <c r="G344" s="3">
        <v>0.93913980595102</v>
      </c>
      <c r="H344" s="4">
        <v>22.2</v>
      </c>
      <c r="I344" s="1">
        <v>2.4</v>
      </c>
      <c r="J344" s="4">
        <v>176.388377166368</v>
      </c>
      <c r="K344" s="13">
        <v>28.3357961368529</v>
      </c>
      <c r="L344" s="9">
        <v>0.682850272152966</v>
      </c>
    </row>
    <row r="345" spans="1:12">
      <c r="A345" s="1">
        <v>50</v>
      </c>
      <c r="B345" s="1">
        <v>8</v>
      </c>
      <c r="C345" s="1">
        <v>0.12</v>
      </c>
      <c r="D345" s="1">
        <v>1</v>
      </c>
      <c r="E345" s="2">
        <v>2</v>
      </c>
      <c r="F345" s="1">
        <v>21.4</v>
      </c>
      <c r="G345" s="3">
        <v>0.920818198615511</v>
      </c>
      <c r="H345" s="4">
        <v>22.2</v>
      </c>
      <c r="I345" s="1">
        <v>3.1</v>
      </c>
      <c r="J345" s="4">
        <v>233.637011123832</v>
      </c>
      <c r="K345" s="13">
        <v>32.7453338435407</v>
      </c>
      <c r="L345" s="9">
        <v>0.713583626393052</v>
      </c>
    </row>
    <row r="346" spans="1:12">
      <c r="A346" s="1">
        <v>55</v>
      </c>
      <c r="B346" s="1">
        <v>8</v>
      </c>
      <c r="C346" s="1">
        <v>0.12</v>
      </c>
      <c r="D346" s="1">
        <v>1</v>
      </c>
      <c r="E346" s="2">
        <v>2</v>
      </c>
      <c r="F346" s="1">
        <v>21.4</v>
      </c>
      <c r="G346" s="3">
        <v>0.89760467536325</v>
      </c>
      <c r="H346" s="4">
        <v>22.2</v>
      </c>
      <c r="I346" s="1">
        <v>4.2</v>
      </c>
      <c r="J346" s="4">
        <v>311.820645779812</v>
      </c>
      <c r="K346" s="13">
        <v>39.295269545617</v>
      </c>
      <c r="L346" s="9">
        <v>0.78633722232677</v>
      </c>
    </row>
    <row r="347" spans="1:12">
      <c r="A347" s="1">
        <v>60</v>
      </c>
      <c r="B347" s="1">
        <v>8</v>
      </c>
      <c r="C347" s="1">
        <v>0.12</v>
      </c>
      <c r="D347" s="1">
        <v>1</v>
      </c>
      <c r="E347" s="2">
        <v>2</v>
      </c>
      <c r="F347" s="1">
        <v>21.4</v>
      </c>
      <c r="G347" s="3">
        <v>0.868253123396246</v>
      </c>
      <c r="H347" s="4">
        <v>22.3</v>
      </c>
      <c r="I347" s="1">
        <v>5.5</v>
      </c>
      <c r="J347" s="4">
        <v>404.53609540261</v>
      </c>
      <c r="K347" s="13">
        <v>45.2891199192711</v>
      </c>
      <c r="L347" s="9">
        <v>0.841768884162995</v>
      </c>
    </row>
    <row r="348" spans="1:12">
      <c r="A348" s="1">
        <v>65</v>
      </c>
      <c r="B348" s="1">
        <v>8</v>
      </c>
      <c r="C348" s="1">
        <v>0.12</v>
      </c>
      <c r="D348" s="1">
        <v>1</v>
      </c>
      <c r="E348" s="2">
        <v>2</v>
      </c>
      <c r="F348" s="1">
        <v>21.4</v>
      </c>
      <c r="G348" s="3">
        <v>0.831152647810126</v>
      </c>
      <c r="H348" s="4">
        <v>22.3</v>
      </c>
      <c r="I348" s="1">
        <v>6.9</v>
      </c>
      <c r="J348" s="4">
        <v>509.840850004537</v>
      </c>
      <c r="K348" s="13">
        <v>52.8089345820265</v>
      </c>
      <c r="L348" s="9">
        <v>0.867178757412216</v>
      </c>
    </row>
    <row r="349" spans="1:12">
      <c r="A349" s="1">
        <v>70</v>
      </c>
      <c r="B349" s="1">
        <v>8</v>
      </c>
      <c r="C349" s="1">
        <v>0.12</v>
      </c>
      <c r="D349" s="1">
        <v>1</v>
      </c>
      <c r="E349" s="2">
        <v>2</v>
      </c>
      <c r="F349" s="1">
        <v>21.4</v>
      </c>
      <c r="G349" s="3">
        <v>0.784179277129304</v>
      </c>
      <c r="H349" s="4">
        <v>22.3</v>
      </c>
      <c r="I349" s="1">
        <v>8.7</v>
      </c>
      <c r="J349" s="4">
        <v>639.821349201626</v>
      </c>
      <c r="K349" s="13">
        <v>62.2060046282236</v>
      </c>
      <c r="L349" s="9">
        <v>0.901962001922299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3"/>
  <sheetViews>
    <sheetView topLeftCell="A178" workbookViewId="0">
      <selection activeCell="E102" sqref="E102"/>
    </sheetView>
  </sheetViews>
  <sheetFormatPr defaultColWidth="9" defaultRowHeight="15"/>
  <cols>
    <col min="1" max="1" width="13.6637168141593" style="22" customWidth="1"/>
    <col min="2" max="2" width="14.2212389380531" style="22" customWidth="1"/>
    <col min="3" max="3" width="15.6637168141593" style="22" customWidth="1"/>
    <col min="4" max="4" width="17.7787610619469" style="22" customWidth="1"/>
    <col min="5" max="6" width="12.8938053097345" style="23" customWidth="1"/>
    <col min="7" max="7" width="12.8938053097345" style="24" customWidth="1"/>
    <col min="8" max="8" width="18.1681415929204" style="25" customWidth="1"/>
    <col min="9" max="9" width="13" style="26" customWidth="1"/>
    <col min="10" max="10" width="12.858407079646" style="27" customWidth="1"/>
  </cols>
  <sheetData>
    <row r="1" ht="15.65" spans="1:10">
      <c r="A1" s="28" t="s">
        <v>12</v>
      </c>
      <c r="B1" s="28" t="s">
        <v>13</v>
      </c>
      <c r="C1" s="28" t="s">
        <v>14</v>
      </c>
      <c r="D1" s="29" t="s">
        <v>15</v>
      </c>
      <c r="E1" s="30"/>
      <c r="F1" s="30" t="s">
        <v>6</v>
      </c>
      <c r="G1" s="16" t="s">
        <v>8</v>
      </c>
      <c r="H1" s="31" t="s">
        <v>16</v>
      </c>
      <c r="I1" s="34" t="s">
        <v>17</v>
      </c>
      <c r="J1" s="31" t="s">
        <v>18</v>
      </c>
    </row>
    <row r="2" spans="1:10">
      <c r="A2" s="32">
        <v>45</v>
      </c>
      <c r="B2" s="32">
        <v>4.8</v>
      </c>
      <c r="C2" s="32">
        <v>20.5</v>
      </c>
      <c r="D2" s="32">
        <v>20.4</v>
      </c>
      <c r="E2" s="2">
        <v>0.0132</v>
      </c>
      <c r="F2" s="2">
        <v>0.93913980595102</v>
      </c>
      <c r="G2" s="24">
        <v>10.7</v>
      </c>
      <c r="H2" s="33">
        <v>98.6019541275018</v>
      </c>
      <c r="I2" s="27">
        <v>35.257157420138</v>
      </c>
      <c r="J2" s="35">
        <v>55.6589045331415</v>
      </c>
    </row>
    <row r="3" spans="1:10">
      <c r="A3" s="32">
        <v>50</v>
      </c>
      <c r="B3" s="32">
        <v>4.8</v>
      </c>
      <c r="C3" s="32">
        <v>20.5</v>
      </c>
      <c r="D3" s="32">
        <v>20.4</v>
      </c>
      <c r="E3" s="2">
        <v>0.0132</v>
      </c>
      <c r="F3" s="2">
        <v>0.920818198615511</v>
      </c>
      <c r="G3" s="24">
        <v>15.7</v>
      </c>
      <c r="H3" s="33">
        <v>137.658490061341</v>
      </c>
      <c r="I3" s="27">
        <v>49.2226254262186</v>
      </c>
      <c r="J3" s="35">
        <v>66.0737897844536</v>
      </c>
    </row>
    <row r="4" spans="1:10">
      <c r="A4" s="32">
        <v>55</v>
      </c>
      <c r="B4" s="32">
        <v>4.8</v>
      </c>
      <c r="C4" s="32">
        <v>20.6</v>
      </c>
      <c r="D4" s="32">
        <v>20.4</v>
      </c>
      <c r="E4" s="2">
        <v>0.0132</v>
      </c>
      <c r="F4" s="2">
        <v>0.89760467536325</v>
      </c>
      <c r="G4" s="24">
        <v>23.1</v>
      </c>
      <c r="H4" s="33">
        <v>190.015473719326</v>
      </c>
      <c r="I4" s="27">
        <v>68.1329058642192</v>
      </c>
      <c r="J4" s="35">
        <v>79.0855833935797</v>
      </c>
    </row>
    <row r="5" spans="1:10">
      <c r="A5" s="32">
        <v>60</v>
      </c>
      <c r="B5" s="32">
        <v>4.8</v>
      </c>
      <c r="C5" s="32">
        <v>20.6</v>
      </c>
      <c r="D5" s="32">
        <v>20.4</v>
      </c>
      <c r="E5" s="2">
        <v>0.0132</v>
      </c>
      <c r="F5" s="2">
        <v>0.868253123396246</v>
      </c>
      <c r="G5" s="24">
        <v>29.5</v>
      </c>
      <c r="H5" s="33">
        <v>242.970094653281</v>
      </c>
      <c r="I5" s="27">
        <v>96.2547709842334</v>
      </c>
      <c r="J5" s="35">
        <v>82.5501372915225</v>
      </c>
    </row>
    <row r="6" spans="1:10">
      <c r="A6" s="32">
        <v>65</v>
      </c>
      <c r="B6" s="32">
        <v>4.8</v>
      </c>
      <c r="C6" s="32">
        <v>20.6</v>
      </c>
      <c r="D6" s="32">
        <v>20.4</v>
      </c>
      <c r="E6" s="2">
        <v>0.0132</v>
      </c>
      <c r="F6" s="2">
        <v>0.831152647810126</v>
      </c>
      <c r="G6" s="24">
        <v>35.6</v>
      </c>
      <c r="H6" s="33">
        <v>299.942442211701</v>
      </c>
      <c r="I6" s="27">
        <v>129.747686801975</v>
      </c>
      <c r="J6" s="35">
        <v>81.8058633829072</v>
      </c>
    </row>
    <row r="7" spans="1:10">
      <c r="A7" s="32">
        <v>70</v>
      </c>
      <c r="B7" s="32">
        <v>4.8</v>
      </c>
      <c r="C7" s="32">
        <v>20.7</v>
      </c>
      <c r="D7" s="32">
        <v>20.4</v>
      </c>
      <c r="E7" s="2">
        <v>0.0132</v>
      </c>
      <c r="F7" s="2">
        <v>0.784179277129304</v>
      </c>
      <c r="G7" s="24">
        <v>41.9</v>
      </c>
      <c r="H7" s="33">
        <v>363.641095327199</v>
      </c>
      <c r="I7" s="27">
        <v>159.471025067555</v>
      </c>
      <c r="J7" s="35">
        <v>79.4392651387112</v>
      </c>
    </row>
    <row r="8" spans="1:10">
      <c r="A8" s="32">
        <v>45</v>
      </c>
      <c r="B8" s="32">
        <v>5.5</v>
      </c>
      <c r="C8" s="32">
        <v>20.6</v>
      </c>
      <c r="D8" s="32">
        <v>20.5</v>
      </c>
      <c r="E8" s="2">
        <v>0.0132</v>
      </c>
      <c r="F8" s="2">
        <v>0.93913980595102</v>
      </c>
      <c r="G8" s="24">
        <v>13</v>
      </c>
      <c r="H8" s="33">
        <v>115.792983018271</v>
      </c>
      <c r="I8" s="27">
        <v>48.195600470387</v>
      </c>
      <c r="J8" s="35">
        <v>59.0260525669708</v>
      </c>
    </row>
    <row r="9" spans="1:10">
      <c r="A9" s="32">
        <v>50</v>
      </c>
      <c r="B9" s="32">
        <v>5.5</v>
      </c>
      <c r="C9" s="32">
        <v>20.8</v>
      </c>
      <c r="D9" s="32">
        <v>20.5</v>
      </c>
      <c r="E9" s="2">
        <v>0.0132</v>
      </c>
      <c r="F9" s="2">
        <v>0.920818198615511</v>
      </c>
      <c r="G9" s="24">
        <v>18.1</v>
      </c>
      <c r="H9" s="33">
        <v>157.717557054183</v>
      </c>
      <c r="I9" s="27">
        <v>51.6856939356893</v>
      </c>
      <c r="J9" s="35">
        <v>66.5116647808256</v>
      </c>
    </row>
    <row r="10" spans="1:10">
      <c r="A10" s="32">
        <v>55</v>
      </c>
      <c r="B10" s="32">
        <v>5.5</v>
      </c>
      <c r="C10" s="32">
        <v>20.9</v>
      </c>
      <c r="D10" s="32">
        <v>20.5</v>
      </c>
      <c r="E10" s="2">
        <v>0.0132</v>
      </c>
      <c r="F10" s="2">
        <v>0.89760467536325</v>
      </c>
      <c r="G10" s="24">
        <v>25.5</v>
      </c>
      <c r="H10" s="33">
        <v>213.387418859136</v>
      </c>
      <c r="I10" s="27">
        <v>77.2540692338148</v>
      </c>
      <c r="J10" s="35">
        <v>76.2278149792084</v>
      </c>
    </row>
    <row r="11" spans="1:10">
      <c r="A11" s="32">
        <v>60</v>
      </c>
      <c r="B11" s="32">
        <v>5.5</v>
      </c>
      <c r="C11" s="32">
        <v>21</v>
      </c>
      <c r="D11" s="32">
        <v>20.5</v>
      </c>
      <c r="E11" s="2">
        <v>0.0132</v>
      </c>
      <c r="F11" s="2">
        <v>0.868253123396246</v>
      </c>
      <c r="G11" s="24">
        <v>31.8</v>
      </c>
      <c r="H11" s="33">
        <v>269.778987655342</v>
      </c>
      <c r="I11" s="27">
        <v>102.454847023455</v>
      </c>
      <c r="J11" s="35">
        <v>77.7102675266003</v>
      </c>
    </row>
    <row r="12" spans="1:10">
      <c r="A12" s="32">
        <v>65</v>
      </c>
      <c r="B12" s="32">
        <v>5.5</v>
      </c>
      <c r="C12" s="32">
        <v>21</v>
      </c>
      <c r="D12" s="32">
        <v>20.5</v>
      </c>
      <c r="E12" s="2">
        <v>0.0132</v>
      </c>
      <c r="F12" s="2">
        <v>0.831152647810126</v>
      </c>
      <c r="G12" s="24">
        <v>38.3</v>
      </c>
      <c r="H12" s="33">
        <v>333.108667713649</v>
      </c>
      <c r="I12" s="27">
        <v>147.134476789263</v>
      </c>
      <c r="J12" s="35">
        <v>76.8575468578421</v>
      </c>
    </row>
    <row r="13" spans="1:10">
      <c r="A13" s="32">
        <v>70</v>
      </c>
      <c r="B13" s="32">
        <v>5.5</v>
      </c>
      <c r="C13" s="32">
        <v>21</v>
      </c>
      <c r="D13" s="32">
        <v>20.4</v>
      </c>
      <c r="E13" s="2">
        <v>0.0132</v>
      </c>
      <c r="F13" s="2">
        <v>0.784179277129304</v>
      </c>
      <c r="G13" s="24">
        <v>42.7</v>
      </c>
      <c r="H13" s="33">
        <v>394.948105981971</v>
      </c>
      <c r="I13" s="27">
        <v>153.111164407897</v>
      </c>
      <c r="J13" s="35">
        <v>70.6857803084514</v>
      </c>
    </row>
    <row r="14" spans="1:10">
      <c r="A14" s="32">
        <v>45</v>
      </c>
      <c r="B14" s="32">
        <v>6.6</v>
      </c>
      <c r="C14" s="32">
        <v>20.8</v>
      </c>
      <c r="D14" s="32">
        <v>20.4</v>
      </c>
      <c r="E14" s="2">
        <v>0.0132</v>
      </c>
      <c r="F14" s="2">
        <v>0.93913980595102</v>
      </c>
      <c r="G14" s="24">
        <v>14.7</v>
      </c>
      <c r="H14" s="33">
        <v>134.969552295882</v>
      </c>
      <c r="I14" s="27">
        <v>45.588814699782</v>
      </c>
      <c r="J14" s="35">
        <v>55.6388786527579</v>
      </c>
    </row>
    <row r="15" spans="1:10">
      <c r="A15" s="32">
        <v>50</v>
      </c>
      <c r="B15" s="32">
        <v>6.6</v>
      </c>
      <c r="C15" s="32">
        <v>20.8</v>
      </c>
      <c r="D15" s="32">
        <v>20.4</v>
      </c>
      <c r="E15" s="2">
        <v>0.0132</v>
      </c>
      <c r="F15" s="2">
        <v>0.920818198615511</v>
      </c>
      <c r="G15" s="24">
        <v>20.5</v>
      </c>
      <c r="H15" s="33">
        <v>184.368360131686</v>
      </c>
      <c r="I15" s="27">
        <v>66.2150519518919</v>
      </c>
      <c r="J15" s="35">
        <v>62.7757425417553</v>
      </c>
    </row>
    <row r="16" spans="1:10">
      <c r="A16" s="32">
        <v>55</v>
      </c>
      <c r="B16" s="32">
        <v>6.6</v>
      </c>
      <c r="C16" s="32">
        <v>21.1</v>
      </c>
      <c r="D16" s="32">
        <v>20.4</v>
      </c>
      <c r="E16" s="2">
        <v>0.0132</v>
      </c>
      <c r="F16" s="2">
        <v>0.89760467536325</v>
      </c>
      <c r="G16" s="24">
        <v>26.4</v>
      </c>
      <c r="H16" s="33">
        <v>238.855303533761</v>
      </c>
      <c r="I16" s="27">
        <v>78.3703072121781</v>
      </c>
      <c r="J16" s="35">
        <v>65.7863082382228</v>
      </c>
    </row>
    <row r="17" spans="1:10">
      <c r="A17" s="32">
        <v>60</v>
      </c>
      <c r="B17" s="32">
        <v>6.6</v>
      </c>
      <c r="C17" s="32">
        <v>21.1</v>
      </c>
      <c r="D17" s="32">
        <v>20.4</v>
      </c>
      <c r="E17" s="2">
        <v>0.0132</v>
      </c>
      <c r="F17" s="2">
        <v>0.868253123396246</v>
      </c>
      <c r="G17" s="24">
        <v>32.9</v>
      </c>
      <c r="H17" s="33">
        <v>302.460059730795</v>
      </c>
      <c r="I17" s="27">
        <v>113.865246816099</v>
      </c>
      <c r="J17" s="35">
        <v>67.0093100742857</v>
      </c>
    </row>
    <row r="18" spans="1:10">
      <c r="A18" s="32">
        <v>65</v>
      </c>
      <c r="B18" s="32">
        <v>6.6</v>
      </c>
      <c r="C18" s="32">
        <v>21.1</v>
      </c>
      <c r="D18" s="32">
        <v>20.4</v>
      </c>
      <c r="E18" s="2">
        <v>0.0132</v>
      </c>
      <c r="F18" s="2">
        <v>0.831152647810126</v>
      </c>
      <c r="G18" s="24">
        <v>39.5</v>
      </c>
      <c r="H18" s="33">
        <v>373.646969926141</v>
      </c>
      <c r="I18" s="27">
        <v>168.643477955076</v>
      </c>
      <c r="J18" s="35">
        <v>66.0651244608213</v>
      </c>
    </row>
    <row r="19" spans="1:10">
      <c r="A19" s="32">
        <v>70</v>
      </c>
      <c r="B19" s="32">
        <v>6.6</v>
      </c>
      <c r="C19" s="32">
        <v>21.2</v>
      </c>
      <c r="D19" s="32">
        <v>20.4</v>
      </c>
      <c r="E19" s="2">
        <v>0.0132</v>
      </c>
      <c r="F19" s="2">
        <v>0.784179277129304</v>
      </c>
      <c r="G19" s="24">
        <v>44.4</v>
      </c>
      <c r="H19" s="33">
        <v>446.162490654333</v>
      </c>
      <c r="I19" s="27">
        <v>189.801800286049</v>
      </c>
      <c r="J19" s="35">
        <v>61.2691908122552</v>
      </c>
    </row>
    <row r="20" spans="1:10">
      <c r="A20" s="32">
        <v>45</v>
      </c>
      <c r="B20" s="32">
        <v>8</v>
      </c>
      <c r="C20" s="32">
        <v>21.2</v>
      </c>
      <c r="D20" s="32">
        <v>20.4</v>
      </c>
      <c r="E20" s="2">
        <v>0.0132</v>
      </c>
      <c r="F20" s="2">
        <v>0.93913980595102</v>
      </c>
      <c r="G20" s="24">
        <v>18.5</v>
      </c>
      <c r="H20" s="33">
        <v>165.420870029657</v>
      </c>
      <c r="I20" s="27">
        <v>63.4040192817427</v>
      </c>
      <c r="J20" s="35">
        <v>57.8056588861215</v>
      </c>
    </row>
    <row r="21" spans="1:10">
      <c r="A21" s="32">
        <v>50</v>
      </c>
      <c r="B21" s="32">
        <v>8</v>
      </c>
      <c r="C21" s="32">
        <v>21.2</v>
      </c>
      <c r="D21" s="32">
        <v>20.4</v>
      </c>
      <c r="E21" s="2">
        <v>0.0132</v>
      </c>
      <c r="F21" s="2">
        <v>0.920818198615511</v>
      </c>
      <c r="G21" s="24">
        <v>25.2</v>
      </c>
      <c r="H21" s="33">
        <v>223.985745710659</v>
      </c>
      <c r="I21" s="27">
        <v>106.066464635791</v>
      </c>
      <c r="J21" s="35">
        <v>63.7050461639884</v>
      </c>
    </row>
    <row r="22" spans="1:10">
      <c r="A22" s="32">
        <v>55</v>
      </c>
      <c r="B22" s="32">
        <v>8</v>
      </c>
      <c r="C22" s="32">
        <v>21.3</v>
      </c>
      <c r="D22" s="32">
        <v>20.4</v>
      </c>
      <c r="E22" s="2">
        <v>0.0132</v>
      </c>
      <c r="F22" s="2">
        <v>0.89760467536325</v>
      </c>
      <c r="G22" s="24">
        <v>28.2</v>
      </c>
      <c r="H22" s="33">
        <v>273.83559186778</v>
      </c>
      <c r="I22" s="27">
        <v>97.6676214617086</v>
      </c>
      <c r="J22" s="35">
        <v>57.9928089400872</v>
      </c>
    </row>
    <row r="23" spans="1:10">
      <c r="A23" s="32">
        <v>60</v>
      </c>
      <c r="B23" s="32">
        <v>8</v>
      </c>
      <c r="C23" s="32">
        <v>21.3</v>
      </c>
      <c r="D23" s="32">
        <v>20.4</v>
      </c>
      <c r="E23" s="2">
        <v>0.0132</v>
      </c>
      <c r="F23" s="2">
        <v>0.868253123396246</v>
      </c>
      <c r="G23" s="24">
        <v>34.4</v>
      </c>
      <c r="H23" s="33">
        <v>344.207742676263</v>
      </c>
      <c r="I23" s="27">
        <v>140.406271911388</v>
      </c>
      <c r="J23" s="35">
        <v>57.8215896870403</v>
      </c>
    </row>
    <row r="24" spans="1:10">
      <c r="A24" s="32">
        <v>65</v>
      </c>
      <c r="B24" s="32">
        <v>8</v>
      </c>
      <c r="C24" s="32">
        <v>21.3</v>
      </c>
      <c r="D24" s="32">
        <v>20.4</v>
      </c>
      <c r="E24" s="2">
        <v>0.0132</v>
      </c>
      <c r="F24" s="2">
        <v>0.831152647810126</v>
      </c>
      <c r="G24" s="24">
        <v>40.5</v>
      </c>
      <c r="H24" s="33">
        <v>422.884466724713</v>
      </c>
      <c r="I24" s="27">
        <v>200.387437315869</v>
      </c>
      <c r="J24" s="35">
        <v>55.9012382376324</v>
      </c>
    </row>
    <row r="25" spans="1:10">
      <c r="A25" s="32">
        <v>70</v>
      </c>
      <c r="B25" s="32">
        <v>8</v>
      </c>
      <c r="C25" s="32">
        <v>21.4</v>
      </c>
      <c r="D25" s="32">
        <v>20.4</v>
      </c>
      <c r="E25" s="2">
        <v>0.0132</v>
      </c>
      <c r="F25" s="2">
        <v>0.784179277129304</v>
      </c>
      <c r="G25" s="24">
        <v>45.1</v>
      </c>
      <c r="H25" s="33">
        <v>505.420179575293</v>
      </c>
      <c r="I25" s="27">
        <v>217.197447992515</v>
      </c>
      <c r="J25" s="35">
        <v>51.360100061061</v>
      </c>
    </row>
    <row r="26" spans="1:10">
      <c r="A26" s="32">
        <v>45</v>
      </c>
      <c r="B26" s="32">
        <v>4.8</v>
      </c>
      <c r="C26" s="32">
        <v>21</v>
      </c>
      <c r="D26" s="32">
        <v>20.8</v>
      </c>
      <c r="E26" s="2">
        <v>0.03</v>
      </c>
      <c r="F26" s="2">
        <v>0.93913980595102</v>
      </c>
      <c r="G26" s="24">
        <v>5.7</v>
      </c>
      <c r="H26" s="33">
        <v>106.964873718852</v>
      </c>
      <c r="I26" s="27">
        <v>26.4618743693882</v>
      </c>
      <c r="J26" s="35">
        <v>67.4415832000584</v>
      </c>
    </row>
    <row r="27" spans="1:10">
      <c r="A27" s="32">
        <v>50</v>
      </c>
      <c r="B27" s="32">
        <v>4.8</v>
      </c>
      <c r="C27" s="32">
        <v>21</v>
      </c>
      <c r="D27" s="32">
        <v>20.8</v>
      </c>
      <c r="E27" s="2">
        <v>0.03</v>
      </c>
      <c r="F27" s="2">
        <v>0.920818198615511</v>
      </c>
      <c r="G27" s="24">
        <v>7.6</v>
      </c>
      <c r="H27" s="33">
        <v>143.295938918919</v>
      </c>
      <c r="I27" s="27">
        <v>31.3518873987083</v>
      </c>
      <c r="J27" s="35">
        <v>72.7515596474211</v>
      </c>
    </row>
    <row r="28" spans="1:10">
      <c r="A28" s="32">
        <v>55</v>
      </c>
      <c r="B28" s="32">
        <v>4.8</v>
      </c>
      <c r="C28" s="32">
        <v>21</v>
      </c>
      <c r="D28" s="32">
        <v>20.8</v>
      </c>
      <c r="E28" s="2">
        <v>0.03</v>
      </c>
      <c r="F28" s="2">
        <v>0.89760467536325</v>
      </c>
      <c r="G28" s="24">
        <v>10.3</v>
      </c>
      <c r="H28" s="33">
        <v>190.72641257502</v>
      </c>
      <c r="I28" s="27">
        <v>38.4938722246017</v>
      </c>
      <c r="J28" s="35">
        <v>80.1953281274553</v>
      </c>
    </row>
    <row r="29" spans="1:10">
      <c r="A29" s="32">
        <v>60</v>
      </c>
      <c r="B29" s="32">
        <v>4.8</v>
      </c>
      <c r="C29" s="32">
        <v>21.1</v>
      </c>
      <c r="D29" s="32">
        <v>20.8</v>
      </c>
      <c r="E29" s="2">
        <v>0.03</v>
      </c>
      <c r="F29" s="2">
        <v>0.868253123396246</v>
      </c>
      <c r="G29" s="24">
        <v>13.4</v>
      </c>
      <c r="H29" s="33">
        <v>246.148035864821</v>
      </c>
      <c r="I29" s="27">
        <v>42.9972093346108</v>
      </c>
      <c r="J29" s="35">
        <v>85.2892054516934</v>
      </c>
    </row>
    <row r="30" spans="1:10">
      <c r="A30" s="32">
        <v>65</v>
      </c>
      <c r="B30" s="32">
        <v>4.8</v>
      </c>
      <c r="C30" s="32">
        <v>21.1</v>
      </c>
      <c r="D30" s="32">
        <v>20.8</v>
      </c>
      <c r="E30" s="2">
        <v>0.03</v>
      </c>
      <c r="F30" s="2">
        <v>0.831152647810126</v>
      </c>
      <c r="G30" s="24">
        <v>16.7</v>
      </c>
      <c r="H30" s="33">
        <v>308.748459188709</v>
      </c>
      <c r="I30" s="27">
        <v>51.2858298032414</v>
      </c>
      <c r="J30" s="35">
        <v>87.2854096911168</v>
      </c>
    </row>
    <row r="31" spans="1:10">
      <c r="A31" s="32">
        <v>70</v>
      </c>
      <c r="B31" s="32">
        <v>4.8</v>
      </c>
      <c r="C31" s="32">
        <v>21.1</v>
      </c>
      <c r="D31" s="32">
        <v>20.8</v>
      </c>
      <c r="E31" s="2">
        <v>0.03</v>
      </c>
      <c r="F31" s="2">
        <v>0.784179277129304</v>
      </c>
      <c r="G31" s="24">
        <v>20.9</v>
      </c>
      <c r="H31" s="33">
        <v>385.601863941149</v>
      </c>
      <c r="I31" s="27">
        <v>62.6167107233191</v>
      </c>
      <c r="J31" s="35">
        <v>90.1129833747277</v>
      </c>
    </row>
    <row r="32" spans="1:10">
      <c r="A32" s="32">
        <v>45</v>
      </c>
      <c r="B32" s="32">
        <v>5.5</v>
      </c>
      <c r="C32" s="32">
        <v>21.2</v>
      </c>
      <c r="D32" s="32">
        <v>20.8</v>
      </c>
      <c r="E32" s="2">
        <v>0.03</v>
      </c>
      <c r="F32" s="2">
        <v>0.93913980595102</v>
      </c>
      <c r="G32" s="24">
        <v>6.7</v>
      </c>
      <c r="H32" s="33">
        <v>123.787069499556</v>
      </c>
      <c r="I32" s="27">
        <v>27.3525382384567</v>
      </c>
      <c r="J32" s="35">
        <v>69.2066856443179</v>
      </c>
    </row>
    <row r="33" spans="1:10">
      <c r="A33" s="32">
        <v>50</v>
      </c>
      <c r="B33" s="32">
        <v>5.5</v>
      </c>
      <c r="C33" s="32">
        <v>21.3</v>
      </c>
      <c r="D33" s="32">
        <v>20.8</v>
      </c>
      <c r="E33" s="2">
        <v>0.03</v>
      </c>
      <c r="F33" s="2">
        <v>0.920818198615511</v>
      </c>
      <c r="G33" s="24">
        <v>8.8</v>
      </c>
      <c r="H33" s="33">
        <v>164.561911640136</v>
      </c>
      <c r="I33" s="27">
        <v>30.6687343207221</v>
      </c>
      <c r="J33" s="35">
        <v>73.5530854801073</v>
      </c>
    </row>
    <row r="34" spans="1:10">
      <c r="A34" s="32">
        <v>55</v>
      </c>
      <c r="B34" s="32">
        <v>5.5</v>
      </c>
      <c r="C34" s="32">
        <v>21.3</v>
      </c>
      <c r="D34" s="32">
        <v>20.8</v>
      </c>
      <c r="E34" s="2">
        <v>0.03</v>
      </c>
      <c r="F34" s="2">
        <v>0.89760467536325</v>
      </c>
      <c r="G34" s="24">
        <v>11.2</v>
      </c>
      <c r="H34" s="33">
        <v>212.593349617432</v>
      </c>
      <c r="I34" s="27">
        <v>36.1752755094925</v>
      </c>
      <c r="J34" s="35">
        <v>76.1408428730996</v>
      </c>
    </row>
    <row r="35" spans="1:10">
      <c r="A35" s="32">
        <v>60</v>
      </c>
      <c r="B35" s="32">
        <v>5.5</v>
      </c>
      <c r="C35" s="32">
        <v>21.3</v>
      </c>
      <c r="D35" s="32">
        <v>20.8</v>
      </c>
      <c r="E35" s="2">
        <v>0.03</v>
      </c>
      <c r="F35" s="2">
        <v>0.868253123396246</v>
      </c>
      <c r="G35" s="24">
        <v>14.7</v>
      </c>
      <c r="H35" s="33">
        <v>275.780843923264</v>
      </c>
      <c r="I35" s="27">
        <v>44.7203952587765</v>
      </c>
      <c r="J35" s="35">
        <v>81.6814691908027</v>
      </c>
    </row>
    <row r="36" spans="1:10">
      <c r="A36" s="32">
        <v>65</v>
      </c>
      <c r="B36" s="32">
        <v>5.5</v>
      </c>
      <c r="C36" s="32">
        <v>21.3</v>
      </c>
      <c r="D36" s="32">
        <v>20.7</v>
      </c>
      <c r="E36" s="2">
        <v>0.03</v>
      </c>
      <c r="F36" s="2">
        <v>0.831152647810126</v>
      </c>
      <c r="G36" s="24">
        <v>19.5</v>
      </c>
      <c r="H36" s="33">
        <v>356.80240681074</v>
      </c>
      <c r="I36" s="27">
        <v>54.8719237754001</v>
      </c>
      <c r="J36" s="35">
        <v>88.9765653001801</v>
      </c>
    </row>
    <row r="37" spans="1:10">
      <c r="A37" s="32">
        <v>70</v>
      </c>
      <c r="B37" s="32">
        <v>5.5</v>
      </c>
      <c r="C37" s="32">
        <v>21.3</v>
      </c>
      <c r="D37" s="32">
        <v>20.7</v>
      </c>
      <c r="E37" s="2">
        <v>0.03</v>
      </c>
      <c r="F37" s="2">
        <v>0.784179277129304</v>
      </c>
      <c r="G37" s="24">
        <v>24</v>
      </c>
      <c r="H37" s="33">
        <v>442.022727840055</v>
      </c>
      <c r="I37" s="27">
        <v>66.958927440785</v>
      </c>
      <c r="J37" s="35">
        <v>90.3372964624433</v>
      </c>
    </row>
    <row r="38" spans="1:10">
      <c r="A38" s="32">
        <v>45</v>
      </c>
      <c r="B38" s="32">
        <v>6.6</v>
      </c>
      <c r="C38" s="32">
        <v>21.3</v>
      </c>
      <c r="D38" s="32">
        <v>20.7</v>
      </c>
      <c r="E38" s="2">
        <v>0.03</v>
      </c>
      <c r="F38" s="2">
        <v>0.93913980595102</v>
      </c>
      <c r="G38" s="24">
        <v>8.1</v>
      </c>
      <c r="H38" s="33">
        <v>148.901395986261</v>
      </c>
      <c r="I38" s="27">
        <v>31.4586352750658</v>
      </c>
      <c r="J38" s="35">
        <v>69.7345340680712</v>
      </c>
    </row>
    <row r="39" spans="1:10">
      <c r="A39" s="32">
        <v>50</v>
      </c>
      <c r="B39" s="32">
        <v>6.6</v>
      </c>
      <c r="C39" s="32">
        <v>21.3</v>
      </c>
      <c r="D39" s="32">
        <v>20.7</v>
      </c>
      <c r="E39" s="2">
        <v>0.03</v>
      </c>
      <c r="F39" s="2">
        <v>0.920818198615511</v>
      </c>
      <c r="G39" s="24">
        <v>10.8</v>
      </c>
      <c r="H39" s="33">
        <v>199.661793968164</v>
      </c>
      <c r="I39" s="27">
        <v>38.2435586146242</v>
      </c>
      <c r="J39" s="35">
        <v>75.2247465137461</v>
      </c>
    </row>
    <row r="40" spans="1:10">
      <c r="A40" s="32">
        <v>55</v>
      </c>
      <c r="B40" s="32">
        <v>6.6</v>
      </c>
      <c r="C40" s="32">
        <v>21.3</v>
      </c>
      <c r="D40" s="32">
        <v>20.7</v>
      </c>
      <c r="E40" s="2">
        <v>0.03</v>
      </c>
      <c r="F40" s="2">
        <v>0.89760467536325</v>
      </c>
      <c r="G40" s="24">
        <v>14.1</v>
      </c>
      <c r="H40" s="33">
        <v>261.127644540919</v>
      </c>
      <c r="I40" s="27">
        <v>46.8498729914089</v>
      </c>
      <c r="J40" s="35">
        <v>79.8799021213322</v>
      </c>
    </row>
    <row r="41" spans="1:10">
      <c r="A41" s="32">
        <v>60</v>
      </c>
      <c r="B41" s="32">
        <v>6.6</v>
      </c>
      <c r="C41" s="32">
        <v>21.3</v>
      </c>
      <c r="D41" s="32">
        <v>20.8</v>
      </c>
      <c r="E41" s="2">
        <v>0.03</v>
      </c>
      <c r="F41" s="2">
        <v>0.868253123396246</v>
      </c>
      <c r="G41" s="24">
        <v>18.4</v>
      </c>
      <c r="H41" s="33">
        <v>337.86409604125</v>
      </c>
      <c r="I41" s="27">
        <v>62.0488272396538</v>
      </c>
      <c r="J41" s="35">
        <v>85.2006254597942</v>
      </c>
    </row>
    <row r="42" spans="1:10">
      <c r="A42" s="32">
        <v>65</v>
      </c>
      <c r="B42" s="32">
        <v>6.6</v>
      </c>
      <c r="C42" s="32">
        <v>21.3</v>
      </c>
      <c r="D42" s="32">
        <v>20.8</v>
      </c>
      <c r="E42" s="2">
        <v>0.03</v>
      </c>
      <c r="F42" s="2">
        <v>0.831152647810126</v>
      </c>
      <c r="G42" s="24">
        <v>22.7</v>
      </c>
      <c r="H42" s="33">
        <v>421.782679839555</v>
      </c>
      <c r="I42" s="27">
        <v>75.5432887719083</v>
      </c>
      <c r="J42" s="35">
        <v>86.3148731758157</v>
      </c>
    </row>
    <row r="43" spans="1:10">
      <c r="A43" s="32">
        <v>70</v>
      </c>
      <c r="B43" s="32">
        <v>6.6</v>
      </c>
      <c r="C43" s="32">
        <v>21.3</v>
      </c>
      <c r="D43" s="32">
        <v>20.8</v>
      </c>
      <c r="E43" s="2">
        <v>0.03</v>
      </c>
      <c r="F43" s="2">
        <v>0.784179277129304</v>
      </c>
      <c r="G43" s="24">
        <v>28.2</v>
      </c>
      <c r="H43" s="33">
        <v>524.958523408065</v>
      </c>
      <c r="I43" s="27">
        <v>95.7132450634743</v>
      </c>
      <c r="J43" s="35">
        <v>88.4552694528091</v>
      </c>
    </row>
    <row r="44" spans="1:10">
      <c r="A44" s="32">
        <v>45</v>
      </c>
      <c r="B44" s="32">
        <v>8</v>
      </c>
      <c r="C44" s="32">
        <v>21</v>
      </c>
      <c r="D44" s="32">
        <v>20.7</v>
      </c>
      <c r="E44" s="2">
        <v>0.03</v>
      </c>
      <c r="F44" s="2">
        <v>0.93913980595102</v>
      </c>
      <c r="G44" s="24">
        <v>9.3</v>
      </c>
      <c r="H44" s="33">
        <v>176.451872864753</v>
      </c>
      <c r="I44" s="27">
        <v>46.9580806801223</v>
      </c>
      <c r="J44" s="35">
        <v>66.0217603958466</v>
      </c>
    </row>
    <row r="45" spans="1:10">
      <c r="A45" s="32">
        <v>50</v>
      </c>
      <c r="B45" s="32">
        <v>8</v>
      </c>
      <c r="C45" s="32">
        <v>21</v>
      </c>
      <c r="D45" s="32">
        <v>20.7</v>
      </c>
      <c r="E45" s="2">
        <v>0.03</v>
      </c>
      <c r="F45" s="2">
        <v>0.920818198615511</v>
      </c>
      <c r="G45" s="24">
        <v>13.1</v>
      </c>
      <c r="H45" s="33">
        <v>242.776217642644</v>
      </c>
      <c r="I45" s="27">
        <v>60.9075760416177</v>
      </c>
      <c r="J45" s="35">
        <v>75.240428793254</v>
      </c>
    </row>
    <row r="46" spans="1:10">
      <c r="A46" s="32">
        <v>55</v>
      </c>
      <c r="B46" s="32">
        <v>8</v>
      </c>
      <c r="C46" s="32">
        <v>21</v>
      </c>
      <c r="D46" s="32">
        <v>20.7</v>
      </c>
      <c r="E46" s="2">
        <v>0.03</v>
      </c>
      <c r="F46" s="2">
        <v>0.89760467536325</v>
      </c>
      <c r="G46" s="24">
        <v>17.3</v>
      </c>
      <c r="H46" s="33">
        <v>319.092632069477</v>
      </c>
      <c r="I46" s="27">
        <v>77.1399014515985</v>
      </c>
      <c r="J46" s="35">
        <v>80.8182044624258</v>
      </c>
    </row>
    <row r="47" spans="1:10">
      <c r="A47" s="32">
        <v>60</v>
      </c>
      <c r="B47" s="32">
        <v>8</v>
      </c>
      <c r="C47" s="32">
        <v>21.1</v>
      </c>
      <c r="D47" s="32">
        <v>20.7</v>
      </c>
      <c r="E47" s="2">
        <v>0.03</v>
      </c>
      <c r="F47" s="2">
        <v>0.868253123396246</v>
      </c>
      <c r="G47" s="24">
        <v>22.5</v>
      </c>
      <c r="H47" s="33">
        <v>411.76582366359</v>
      </c>
      <c r="I47" s="27">
        <v>93.8441834728553</v>
      </c>
      <c r="J47" s="35">
        <v>85.9256920595419</v>
      </c>
    </row>
    <row r="48" spans="1:10">
      <c r="A48" s="32">
        <v>65</v>
      </c>
      <c r="B48" s="32">
        <v>8</v>
      </c>
      <c r="C48" s="32">
        <v>21.1</v>
      </c>
      <c r="D48" s="32">
        <v>20.7</v>
      </c>
      <c r="E48" s="2">
        <v>0.03</v>
      </c>
      <c r="F48" s="2">
        <v>0.831152647810126</v>
      </c>
      <c r="G48" s="24">
        <v>28.2</v>
      </c>
      <c r="H48" s="33">
        <v>517.922779203403</v>
      </c>
      <c r="I48" s="27">
        <v>121.896919914894</v>
      </c>
      <c r="J48" s="35">
        <v>88.4352773636944</v>
      </c>
    </row>
    <row r="49" spans="1:10">
      <c r="A49" s="32">
        <v>70</v>
      </c>
      <c r="B49" s="32">
        <v>8</v>
      </c>
      <c r="C49" s="32">
        <v>21.1</v>
      </c>
      <c r="D49" s="32">
        <v>20.7</v>
      </c>
      <c r="E49" s="2">
        <v>0.03</v>
      </c>
      <c r="F49" s="2">
        <v>0.784179277129304</v>
      </c>
      <c r="G49" s="24">
        <v>34.3</v>
      </c>
      <c r="H49" s="33">
        <v>637.808662124137</v>
      </c>
      <c r="I49" s="27">
        <v>158.331235722151</v>
      </c>
      <c r="J49" s="35">
        <v>88.7332630551146</v>
      </c>
    </row>
    <row r="50" spans="1:10">
      <c r="A50" s="32">
        <v>45</v>
      </c>
      <c r="B50" s="32">
        <v>4.8</v>
      </c>
      <c r="C50" s="32">
        <v>20.9</v>
      </c>
      <c r="D50" s="32">
        <v>20.7</v>
      </c>
      <c r="E50" s="2">
        <v>0.06</v>
      </c>
      <c r="F50" s="2">
        <v>0.93913980595102</v>
      </c>
      <c r="G50" s="24">
        <v>2.9</v>
      </c>
      <c r="H50" s="33">
        <v>108.013034375791</v>
      </c>
      <c r="I50" s="27">
        <v>23.807850072119</v>
      </c>
      <c r="J50" s="35">
        <v>68.6135638766561</v>
      </c>
    </row>
    <row r="51" spans="1:10">
      <c r="A51" s="32">
        <v>50</v>
      </c>
      <c r="B51" s="32">
        <v>4.8</v>
      </c>
      <c r="C51" s="32">
        <v>20.9</v>
      </c>
      <c r="D51" s="32">
        <v>20.7</v>
      </c>
      <c r="E51" s="2">
        <v>0.06</v>
      </c>
      <c r="F51" s="2">
        <v>0.920818198615511</v>
      </c>
      <c r="G51" s="24">
        <v>3.9</v>
      </c>
      <c r="H51" s="33">
        <v>145.253739575293</v>
      </c>
      <c r="I51" s="27">
        <v>27.9220749805736</v>
      </c>
      <c r="J51" s="35">
        <v>74.6539816864019</v>
      </c>
    </row>
    <row r="52" spans="1:10">
      <c r="A52" s="32">
        <v>55</v>
      </c>
      <c r="B52" s="32">
        <v>4.8</v>
      </c>
      <c r="C52" s="32">
        <v>20.9</v>
      </c>
      <c r="D52" s="32">
        <v>20.7</v>
      </c>
      <c r="E52" s="2">
        <v>0.06</v>
      </c>
      <c r="F52" s="2">
        <v>0.89760467536325</v>
      </c>
      <c r="G52" s="24">
        <v>5.3</v>
      </c>
      <c r="H52" s="33">
        <v>193.593603428579</v>
      </c>
      <c r="I52" s="27">
        <v>33.4536048090208</v>
      </c>
      <c r="J52" s="35">
        <v>82.5178552675255</v>
      </c>
    </row>
    <row r="53" spans="1:10">
      <c r="A53" s="32">
        <v>60</v>
      </c>
      <c r="B53" s="32">
        <v>4.8</v>
      </c>
      <c r="C53" s="32">
        <v>20.9</v>
      </c>
      <c r="D53" s="32">
        <v>20.7</v>
      </c>
      <c r="E53" s="2">
        <v>0.06</v>
      </c>
      <c r="F53" s="2">
        <v>0.868253123396246</v>
      </c>
      <c r="G53" s="24">
        <v>6.8</v>
      </c>
      <c r="H53" s="33">
        <v>248.23226012053</v>
      </c>
      <c r="I53" s="27">
        <v>39.1229258800365</v>
      </c>
      <c r="J53" s="35">
        <v>86.5345912424899</v>
      </c>
    </row>
    <row r="54" spans="1:10">
      <c r="A54" s="32">
        <v>65</v>
      </c>
      <c r="B54" s="32">
        <v>4.8</v>
      </c>
      <c r="C54" s="32">
        <v>20.9</v>
      </c>
      <c r="D54" s="32">
        <v>20.7</v>
      </c>
      <c r="E54" s="2">
        <v>0.06</v>
      </c>
      <c r="F54" s="2">
        <v>0.831152647810126</v>
      </c>
      <c r="G54" s="24">
        <v>8.4</v>
      </c>
      <c r="H54" s="33">
        <v>309.915736972843</v>
      </c>
      <c r="I54" s="27">
        <v>45.0564978874872</v>
      </c>
      <c r="J54" s="35">
        <v>87.7803135260074</v>
      </c>
    </row>
    <row r="55" spans="1:10">
      <c r="A55" s="32">
        <v>70</v>
      </c>
      <c r="B55" s="32">
        <v>4.8</v>
      </c>
      <c r="C55" s="32">
        <v>21</v>
      </c>
      <c r="D55" s="32">
        <v>20.7</v>
      </c>
      <c r="E55" s="2">
        <v>0.06</v>
      </c>
      <c r="F55" s="2">
        <v>0.784179277129304</v>
      </c>
      <c r="G55" s="24">
        <v>9.8</v>
      </c>
      <c r="H55" s="33">
        <v>373.877816735781</v>
      </c>
      <c r="I55" s="27">
        <v>46.5465814379474</v>
      </c>
      <c r="J55" s="35">
        <v>84.4946144397472</v>
      </c>
    </row>
    <row r="56" spans="1:10">
      <c r="A56" s="32">
        <v>45</v>
      </c>
      <c r="B56" s="32">
        <v>5.5</v>
      </c>
      <c r="C56" s="32">
        <v>21.1</v>
      </c>
      <c r="D56" s="32">
        <v>20.7</v>
      </c>
      <c r="E56" s="2">
        <v>0.06</v>
      </c>
      <c r="F56" s="2">
        <v>0.93913980595102</v>
      </c>
      <c r="G56" s="24">
        <v>3.2</v>
      </c>
      <c r="H56" s="33">
        <v>121.210438939514</v>
      </c>
      <c r="I56" s="27">
        <v>23.2206630671463</v>
      </c>
      <c r="J56" s="35">
        <v>66.0970883102306</v>
      </c>
    </row>
    <row r="57" spans="1:10">
      <c r="A57" s="32">
        <v>50</v>
      </c>
      <c r="B57" s="32">
        <v>5.5</v>
      </c>
      <c r="C57" s="32">
        <v>21.1</v>
      </c>
      <c r="D57" s="32">
        <v>20.7</v>
      </c>
      <c r="E57" s="2">
        <v>0.06</v>
      </c>
      <c r="F57" s="2">
        <v>0.920818198615511</v>
      </c>
      <c r="G57" s="24">
        <v>4.5</v>
      </c>
      <c r="H57" s="33">
        <v>166.696598877075</v>
      </c>
      <c r="I57" s="27">
        <v>28.1958715203133</v>
      </c>
      <c r="J57" s="35">
        <v>75.2003920080684</v>
      </c>
    </row>
    <row r="58" spans="1:10">
      <c r="A58" s="32">
        <v>55</v>
      </c>
      <c r="B58" s="32">
        <v>5.5</v>
      </c>
      <c r="C58" s="32">
        <v>21.1</v>
      </c>
      <c r="D58" s="32">
        <v>20.7</v>
      </c>
      <c r="E58" s="2">
        <v>0.06</v>
      </c>
      <c r="F58" s="2">
        <v>0.89760467536325</v>
      </c>
      <c r="G58" s="24">
        <v>5.8</v>
      </c>
      <c r="H58" s="33">
        <v>216.546086278134</v>
      </c>
      <c r="I58" s="27">
        <v>32.8764338571785</v>
      </c>
      <c r="J58" s="35">
        <v>78.8348321863</v>
      </c>
    </row>
    <row r="59" spans="1:10">
      <c r="A59" s="32">
        <v>60</v>
      </c>
      <c r="B59" s="32">
        <v>5.5</v>
      </c>
      <c r="C59" s="32">
        <v>21.1</v>
      </c>
      <c r="D59" s="32">
        <v>20.7</v>
      </c>
      <c r="E59" s="2">
        <v>0.06</v>
      </c>
      <c r="F59" s="2">
        <v>0.868253123396246</v>
      </c>
      <c r="G59" s="24">
        <v>7.6</v>
      </c>
      <c r="H59" s="33">
        <v>280.639459497885</v>
      </c>
      <c r="I59" s="27">
        <v>39.2053092943348</v>
      </c>
      <c r="J59" s="35">
        <v>84.4328416520428</v>
      </c>
    </row>
    <row r="60" spans="1:10">
      <c r="A60" s="32">
        <v>65</v>
      </c>
      <c r="B60" s="32">
        <v>5.5</v>
      </c>
      <c r="C60" s="32">
        <v>21.1</v>
      </c>
      <c r="D60" s="32">
        <v>20.7</v>
      </c>
      <c r="E60" s="2">
        <v>0.06</v>
      </c>
      <c r="F60" s="2">
        <v>0.831152647810126</v>
      </c>
      <c r="G60" s="24">
        <v>9.2</v>
      </c>
      <c r="H60" s="33">
        <v>347.071259660673</v>
      </c>
      <c r="I60" s="27">
        <v>44.7541074065086</v>
      </c>
      <c r="J60" s="35">
        <v>83.9308370595474</v>
      </c>
    </row>
    <row r="61" spans="1:10">
      <c r="A61" s="32">
        <v>70</v>
      </c>
      <c r="B61" s="32">
        <v>5.5</v>
      </c>
      <c r="C61" s="32">
        <v>21.1</v>
      </c>
      <c r="D61" s="32">
        <v>20.7</v>
      </c>
      <c r="E61" s="2">
        <v>0.06</v>
      </c>
      <c r="F61" s="2">
        <v>0.784179277129304</v>
      </c>
      <c r="G61" s="24">
        <v>12</v>
      </c>
      <c r="H61" s="33">
        <v>442.310186981177</v>
      </c>
      <c r="I61" s="27">
        <v>54.3632070444029</v>
      </c>
      <c r="J61" s="35">
        <v>90.3089663746727</v>
      </c>
    </row>
    <row r="62" spans="1:10">
      <c r="A62" s="32">
        <v>45</v>
      </c>
      <c r="B62" s="32">
        <v>6.6</v>
      </c>
      <c r="C62" s="32">
        <v>21.1</v>
      </c>
      <c r="D62" s="32">
        <v>20.7</v>
      </c>
      <c r="E62" s="2">
        <v>0.06</v>
      </c>
      <c r="F62" s="2">
        <v>0.93913980595102</v>
      </c>
      <c r="G62" s="24">
        <v>3.8</v>
      </c>
      <c r="H62" s="33">
        <v>144.723360060751</v>
      </c>
      <c r="I62" s="27">
        <v>28.3450105394663</v>
      </c>
      <c r="J62" s="35">
        <v>65.4085769736657</v>
      </c>
    </row>
    <row r="63" spans="1:10">
      <c r="A63" s="32">
        <v>50</v>
      </c>
      <c r="B63" s="32">
        <v>6.6</v>
      </c>
      <c r="C63" s="32">
        <v>21.1</v>
      </c>
      <c r="D63" s="32">
        <v>20.7</v>
      </c>
      <c r="E63" s="2">
        <v>0.06</v>
      </c>
      <c r="F63" s="2">
        <v>0.920818198615511</v>
      </c>
      <c r="G63" s="24">
        <v>5.1</v>
      </c>
      <c r="H63" s="33">
        <v>194.56716865249</v>
      </c>
      <c r="I63" s="27">
        <v>33.5394833414341</v>
      </c>
      <c r="J63" s="35">
        <v>71.0225924520646</v>
      </c>
    </row>
    <row r="64" spans="1:10">
      <c r="A64" s="32">
        <v>55</v>
      </c>
      <c r="B64" s="32">
        <v>6.6</v>
      </c>
      <c r="C64" s="32">
        <v>21.1</v>
      </c>
      <c r="D64" s="32">
        <v>20.8</v>
      </c>
      <c r="E64" s="2">
        <v>0.06</v>
      </c>
      <c r="F64" s="2">
        <v>0.89760467536325</v>
      </c>
      <c r="G64" s="24">
        <v>7</v>
      </c>
      <c r="H64" s="33">
        <v>260.584470200428</v>
      </c>
      <c r="I64" s="27">
        <v>43.661846107656</v>
      </c>
      <c r="J64" s="35">
        <v>79.2879059344972</v>
      </c>
    </row>
    <row r="65" spans="1:10">
      <c r="A65" s="32">
        <v>60</v>
      </c>
      <c r="B65" s="32">
        <v>6.6</v>
      </c>
      <c r="C65" s="32">
        <v>21.1</v>
      </c>
      <c r="D65" s="32">
        <v>20.8</v>
      </c>
      <c r="E65" s="2">
        <v>0.06</v>
      </c>
      <c r="F65" s="2">
        <v>0.868253123396246</v>
      </c>
      <c r="G65" s="24">
        <v>8.7</v>
      </c>
      <c r="H65" s="33">
        <v>329.111101397462</v>
      </c>
      <c r="I65" s="27">
        <v>50.3659804239665</v>
      </c>
      <c r="J65" s="35">
        <v>80.5444871022776</v>
      </c>
    </row>
    <row r="66" spans="1:10">
      <c r="A66" s="32">
        <v>65</v>
      </c>
      <c r="B66" s="32">
        <v>6.6</v>
      </c>
      <c r="C66" s="32">
        <v>21.1</v>
      </c>
      <c r="D66" s="32">
        <v>20.8</v>
      </c>
      <c r="E66" s="2">
        <v>0.06</v>
      </c>
      <c r="F66" s="2">
        <v>0.831152647810126</v>
      </c>
      <c r="G66" s="24">
        <v>11.5</v>
      </c>
      <c r="H66" s="33">
        <v>424.870928259474</v>
      </c>
      <c r="I66" s="27">
        <v>61.5190533799634</v>
      </c>
      <c r="J66" s="35">
        <v>87.4279552703619</v>
      </c>
    </row>
    <row r="67" spans="1:10">
      <c r="A67" s="32">
        <v>70</v>
      </c>
      <c r="B67" s="32">
        <v>6.6</v>
      </c>
      <c r="C67" s="32">
        <v>21.2</v>
      </c>
      <c r="D67" s="32">
        <v>20.8</v>
      </c>
      <c r="E67" s="2">
        <v>0.06</v>
      </c>
      <c r="F67" s="2">
        <v>0.784179277129304</v>
      </c>
      <c r="G67" s="24">
        <v>14.4</v>
      </c>
      <c r="H67" s="33">
        <v>530.599990654333</v>
      </c>
      <c r="I67" s="27">
        <v>68.8840350587568</v>
      </c>
      <c r="J67" s="35">
        <v>90.323131418558</v>
      </c>
    </row>
    <row r="68" spans="1:10">
      <c r="A68" s="32">
        <v>45</v>
      </c>
      <c r="B68" s="32">
        <v>8</v>
      </c>
      <c r="C68" s="32">
        <v>21</v>
      </c>
      <c r="D68" s="32">
        <v>20.8</v>
      </c>
      <c r="E68" s="2">
        <v>0.06</v>
      </c>
      <c r="F68" s="2">
        <v>0.93913980595102</v>
      </c>
      <c r="G68" s="24">
        <v>4.6</v>
      </c>
      <c r="H68" s="33">
        <v>175.54041453142</v>
      </c>
      <c r="I68" s="27">
        <v>41.4869634958202</v>
      </c>
      <c r="J68" s="35">
        <v>65.3118489937407</v>
      </c>
    </row>
    <row r="69" spans="1:10">
      <c r="A69" s="32">
        <v>50</v>
      </c>
      <c r="B69" s="32">
        <v>8</v>
      </c>
      <c r="C69" s="32">
        <v>21.2</v>
      </c>
      <c r="D69" s="32">
        <v>20.8</v>
      </c>
      <c r="E69" s="2">
        <v>0.06</v>
      </c>
      <c r="F69" s="2">
        <v>0.920818198615511</v>
      </c>
      <c r="G69" s="24">
        <v>6.4</v>
      </c>
      <c r="H69" s="33">
        <v>239.589912377326</v>
      </c>
      <c r="I69" s="27">
        <v>43.2443883481034</v>
      </c>
      <c r="J69" s="35">
        <v>73.541178832887</v>
      </c>
    </row>
    <row r="70" spans="1:10">
      <c r="A70" s="32">
        <v>55</v>
      </c>
      <c r="B70" s="32">
        <v>8</v>
      </c>
      <c r="C70" s="32">
        <v>21.2</v>
      </c>
      <c r="D70" s="32">
        <v>20.8</v>
      </c>
      <c r="E70" s="2">
        <v>0.06</v>
      </c>
      <c r="F70" s="2">
        <v>0.89760467536325</v>
      </c>
      <c r="G70" s="24">
        <v>8.2</v>
      </c>
      <c r="H70" s="33">
        <v>310.444581836723</v>
      </c>
      <c r="I70" s="27">
        <v>50.6217152510661</v>
      </c>
      <c r="J70" s="35">
        <v>76.6384061263034</v>
      </c>
    </row>
    <row r="71" spans="1:10">
      <c r="A71" s="32">
        <v>60</v>
      </c>
      <c r="B71" s="32">
        <v>8</v>
      </c>
      <c r="C71" s="32">
        <v>21.2</v>
      </c>
      <c r="D71" s="32">
        <v>20.8</v>
      </c>
      <c r="E71" s="2">
        <v>0.06</v>
      </c>
      <c r="F71" s="2">
        <v>0.868253123396246</v>
      </c>
      <c r="G71" s="24">
        <v>11</v>
      </c>
      <c r="H71" s="33">
        <v>406.989736271082</v>
      </c>
      <c r="I71" s="27">
        <v>62.3018235410354</v>
      </c>
      <c r="J71" s="35">
        <v>84.0296202510218</v>
      </c>
    </row>
    <row r="72" spans="1:10">
      <c r="A72" s="32">
        <v>65</v>
      </c>
      <c r="B72" s="32">
        <v>8</v>
      </c>
      <c r="C72" s="32">
        <v>21.2</v>
      </c>
      <c r="D72" s="32">
        <v>20.8</v>
      </c>
      <c r="E72" s="2">
        <v>0.06</v>
      </c>
      <c r="F72" s="2">
        <v>0.831152647810126</v>
      </c>
      <c r="G72" s="24">
        <v>14.2</v>
      </c>
      <c r="H72" s="33">
        <v>519.531550319989</v>
      </c>
      <c r="I72" s="27">
        <v>75.7794355781637</v>
      </c>
      <c r="J72" s="35">
        <v>89.0765578660844</v>
      </c>
    </row>
    <row r="73" spans="1:10">
      <c r="A73" s="32">
        <v>70</v>
      </c>
      <c r="B73" s="32">
        <v>8</v>
      </c>
      <c r="C73" s="32">
        <v>21.2</v>
      </c>
      <c r="D73" s="32">
        <v>20.8</v>
      </c>
      <c r="E73" s="2">
        <v>0.06</v>
      </c>
      <c r="F73" s="2">
        <v>0.784179277129304</v>
      </c>
      <c r="G73" s="24">
        <v>17.1</v>
      </c>
      <c r="H73" s="33">
        <v>636.688435641615</v>
      </c>
      <c r="I73" s="27">
        <v>88.0748338158714</v>
      </c>
      <c r="J73" s="35">
        <v>88.4884428116185</v>
      </c>
    </row>
    <row r="74" spans="1:10">
      <c r="A74" s="32">
        <v>45</v>
      </c>
      <c r="B74" s="32">
        <v>4.8</v>
      </c>
      <c r="C74" s="32">
        <v>21.8</v>
      </c>
      <c r="D74" s="32">
        <v>21.5</v>
      </c>
      <c r="E74" s="2">
        <v>0.12</v>
      </c>
      <c r="F74" s="2">
        <v>0.93913980595102</v>
      </c>
      <c r="G74" s="24">
        <v>1.4</v>
      </c>
      <c r="H74" s="33">
        <v>104.942247226133</v>
      </c>
      <c r="I74" s="27">
        <v>20.6974533204811</v>
      </c>
      <c r="J74" s="35">
        <v>66.3449464458009</v>
      </c>
    </row>
    <row r="75" spans="1:10">
      <c r="A75" s="32">
        <v>50</v>
      </c>
      <c r="B75" s="32">
        <v>4.8</v>
      </c>
      <c r="C75" s="32">
        <v>21.8</v>
      </c>
      <c r="D75" s="32">
        <v>21.5</v>
      </c>
      <c r="E75" s="2">
        <v>0.12</v>
      </c>
      <c r="F75" s="2">
        <v>0.920818198615511</v>
      </c>
      <c r="G75" s="24">
        <v>1.9</v>
      </c>
      <c r="H75" s="33">
        <v>142.200006746135</v>
      </c>
      <c r="I75" s="27">
        <v>24.2490698827295</v>
      </c>
      <c r="J75" s="35">
        <v>72.8458206045811</v>
      </c>
    </row>
    <row r="76" spans="1:10">
      <c r="A76" s="32">
        <v>55</v>
      </c>
      <c r="B76" s="32">
        <v>4.8</v>
      </c>
      <c r="C76" s="32">
        <v>21.8</v>
      </c>
      <c r="D76" s="32">
        <v>21.5</v>
      </c>
      <c r="E76" s="2">
        <v>0.12</v>
      </c>
      <c r="F76" s="2">
        <v>0.89760467536325</v>
      </c>
      <c r="G76" s="24">
        <v>2.5</v>
      </c>
      <c r="H76" s="33">
        <v>186.913459469741</v>
      </c>
      <c r="I76" s="27">
        <v>28.2376921866186</v>
      </c>
      <c r="J76" s="35">
        <v>77.9596106718387</v>
      </c>
    </row>
    <row r="77" spans="1:10">
      <c r="A77" s="32">
        <v>60</v>
      </c>
      <c r="B77" s="32">
        <v>4.8</v>
      </c>
      <c r="C77" s="32">
        <v>21.8</v>
      </c>
      <c r="D77" s="32">
        <v>21.5</v>
      </c>
      <c r="E77" s="2">
        <v>0.12</v>
      </c>
      <c r="F77" s="2">
        <v>0.868253123396246</v>
      </c>
      <c r="G77" s="24">
        <v>3.2</v>
      </c>
      <c r="H77" s="33">
        <v>239.751472073695</v>
      </c>
      <c r="I77" s="27">
        <v>32.6600125450468</v>
      </c>
      <c r="J77" s="35">
        <v>81.5611620278043</v>
      </c>
    </row>
    <row r="78" spans="1:10">
      <c r="A78" s="32">
        <v>65</v>
      </c>
      <c r="B78" s="32">
        <v>4.8</v>
      </c>
      <c r="C78" s="32">
        <v>21.8</v>
      </c>
      <c r="D78" s="32">
        <v>21.5</v>
      </c>
      <c r="E78" s="2">
        <v>0.12</v>
      </c>
      <c r="F78" s="2">
        <v>0.831152647810126</v>
      </c>
      <c r="G78" s="24">
        <v>4.1</v>
      </c>
      <c r="H78" s="33">
        <v>305.106455314382</v>
      </c>
      <c r="I78" s="27">
        <v>38.0621365854329</v>
      </c>
      <c r="J78" s="35">
        <v>85.8122662235317</v>
      </c>
    </row>
    <row r="79" spans="1:10">
      <c r="A79" s="32">
        <v>70</v>
      </c>
      <c r="B79" s="32">
        <v>4.8</v>
      </c>
      <c r="C79" s="32">
        <v>21.8</v>
      </c>
      <c r="D79" s="32">
        <v>21.5</v>
      </c>
      <c r="E79" s="2">
        <v>0.12</v>
      </c>
      <c r="F79" s="2">
        <v>0.784179277129304</v>
      </c>
      <c r="G79" s="24">
        <v>5.3</v>
      </c>
      <c r="H79" s="33">
        <v>387.451961126437</v>
      </c>
      <c r="I79" s="27">
        <v>44.8849396119573</v>
      </c>
      <c r="J79" s="35">
        <v>91.5068314939759</v>
      </c>
    </row>
    <row r="80" spans="1:10">
      <c r="A80" s="32">
        <v>45</v>
      </c>
      <c r="B80" s="32">
        <v>5.5</v>
      </c>
      <c r="C80" s="32">
        <v>21.8</v>
      </c>
      <c r="D80" s="32">
        <v>21.5</v>
      </c>
      <c r="E80" s="2">
        <v>0.12</v>
      </c>
      <c r="F80" s="2">
        <v>0.93913980595102</v>
      </c>
      <c r="G80" s="24">
        <v>1.5</v>
      </c>
      <c r="H80" s="33">
        <v>116.448581891055</v>
      </c>
      <c r="I80" s="27">
        <v>23.0483150210956</v>
      </c>
      <c r="J80" s="35">
        <v>62.0368330402295</v>
      </c>
    </row>
    <row r="81" spans="1:10">
      <c r="A81" s="32">
        <v>50</v>
      </c>
      <c r="B81" s="32">
        <v>5.5</v>
      </c>
      <c r="C81" s="32">
        <v>21.8</v>
      </c>
      <c r="D81" s="32">
        <v>21.5</v>
      </c>
      <c r="E81" s="2">
        <v>0.12</v>
      </c>
      <c r="F81" s="2">
        <v>0.920818198615511</v>
      </c>
      <c r="G81" s="24">
        <v>2.2</v>
      </c>
      <c r="H81" s="33">
        <v>163.773011202169</v>
      </c>
      <c r="I81" s="27">
        <v>28.1786693105068</v>
      </c>
      <c r="J81" s="35">
        <v>73.6126187162083</v>
      </c>
    </row>
    <row r="82" spans="1:10">
      <c r="A82" s="32">
        <v>55</v>
      </c>
      <c r="B82" s="32">
        <v>5.5</v>
      </c>
      <c r="C82" s="32">
        <v>21.8</v>
      </c>
      <c r="D82" s="32">
        <v>21.5</v>
      </c>
      <c r="E82" s="2">
        <v>0.12</v>
      </c>
      <c r="F82" s="2">
        <v>0.89760467536325</v>
      </c>
      <c r="G82" s="24">
        <v>2.9</v>
      </c>
      <c r="H82" s="33">
        <v>215.462904947967</v>
      </c>
      <c r="I82" s="27">
        <v>32.8881213747723</v>
      </c>
      <c r="J82" s="35">
        <v>78.9234749492359</v>
      </c>
    </row>
    <row r="83" spans="1:10">
      <c r="A83" s="32">
        <v>60</v>
      </c>
      <c r="B83" s="32">
        <v>5.5</v>
      </c>
      <c r="C83" s="32">
        <v>21.8</v>
      </c>
      <c r="D83" s="32">
        <v>21.5</v>
      </c>
      <c r="E83" s="2">
        <v>0.12</v>
      </c>
      <c r="F83" s="2">
        <v>0.868253123396246</v>
      </c>
      <c r="G83" s="24">
        <v>3.8</v>
      </c>
      <c r="H83" s="33">
        <v>279.576339528887</v>
      </c>
      <c r="I83" s="27">
        <v>38.6100816414497</v>
      </c>
      <c r="J83" s="35">
        <v>84.5270224651791</v>
      </c>
    </row>
    <row r="84" spans="1:10">
      <c r="A84" s="32">
        <v>65</v>
      </c>
      <c r="B84" s="32">
        <v>5.5</v>
      </c>
      <c r="C84" s="32">
        <v>21.8</v>
      </c>
      <c r="D84" s="32">
        <v>21.5</v>
      </c>
      <c r="E84" s="2">
        <v>0.12</v>
      </c>
      <c r="F84" s="2">
        <v>0.831152647810126</v>
      </c>
      <c r="G84" s="24">
        <v>4.5</v>
      </c>
      <c r="H84" s="33">
        <v>342.38543490884</v>
      </c>
      <c r="I84" s="27">
        <v>43.0638992184236</v>
      </c>
      <c r="J84" s="35">
        <v>82.1971153183275</v>
      </c>
    </row>
    <row r="85" spans="1:10">
      <c r="A85" s="32">
        <v>70</v>
      </c>
      <c r="B85" s="32">
        <v>5.5</v>
      </c>
      <c r="C85" s="32">
        <v>22</v>
      </c>
      <c r="D85" s="32">
        <v>21.5</v>
      </c>
      <c r="E85" s="2">
        <v>0.12</v>
      </c>
      <c r="F85" s="2">
        <v>0.784179277129304</v>
      </c>
      <c r="G85" s="24">
        <v>6</v>
      </c>
      <c r="H85" s="33">
        <v>441.003744008872</v>
      </c>
      <c r="I85" s="27">
        <v>46.6482342247131</v>
      </c>
      <c r="J85" s="35">
        <v>90.4364517696405</v>
      </c>
    </row>
    <row r="86" spans="1:10">
      <c r="A86" s="32">
        <v>45</v>
      </c>
      <c r="B86" s="32">
        <v>6.6</v>
      </c>
      <c r="C86" s="32">
        <v>21.9</v>
      </c>
      <c r="D86" s="32">
        <v>21.5</v>
      </c>
      <c r="E86" s="2">
        <v>0.12</v>
      </c>
      <c r="F86" s="2">
        <v>0.93913980595102</v>
      </c>
      <c r="G86" s="24">
        <v>1.8</v>
      </c>
      <c r="H86" s="33">
        <v>139.544246472417</v>
      </c>
      <c r="I86" s="27">
        <v>26.1635831120806</v>
      </c>
      <c r="J86" s="35">
        <v>62.046949147285</v>
      </c>
    </row>
    <row r="87" spans="1:10">
      <c r="A87" s="32">
        <v>50</v>
      </c>
      <c r="B87" s="32">
        <v>6.6</v>
      </c>
      <c r="C87" s="32">
        <v>21.9</v>
      </c>
      <c r="D87" s="32">
        <v>21.5</v>
      </c>
      <c r="E87" s="2">
        <v>0.12</v>
      </c>
      <c r="F87" s="2">
        <v>0.920818198615511</v>
      </c>
      <c r="G87" s="24">
        <v>2.6</v>
      </c>
      <c r="H87" s="33">
        <v>194.877967446336</v>
      </c>
      <c r="I87" s="27">
        <v>31.8723580680552</v>
      </c>
      <c r="J87" s="35">
        <v>72.5090022518615</v>
      </c>
    </row>
    <row r="88" spans="1:10">
      <c r="A88" s="32">
        <v>55</v>
      </c>
      <c r="B88" s="32">
        <v>6.6</v>
      </c>
      <c r="C88" s="32">
        <v>21.9</v>
      </c>
      <c r="D88" s="32">
        <v>21.5</v>
      </c>
      <c r="E88" s="2">
        <v>0.12</v>
      </c>
      <c r="F88" s="2">
        <v>0.89760467536325</v>
      </c>
      <c r="G88" s="24">
        <v>3.5</v>
      </c>
      <c r="H88" s="33">
        <v>259.096464029833</v>
      </c>
      <c r="I88" s="27">
        <v>37.7920913414896</v>
      </c>
      <c r="J88" s="35">
        <v>79.3897941677569</v>
      </c>
    </row>
    <row r="89" spans="1:10">
      <c r="A89" s="32">
        <v>60</v>
      </c>
      <c r="B89" s="32">
        <v>6.6</v>
      </c>
      <c r="C89" s="32">
        <v>21.9</v>
      </c>
      <c r="D89" s="32">
        <v>21.5</v>
      </c>
      <c r="E89" s="2">
        <v>0.12</v>
      </c>
      <c r="F89" s="2">
        <v>0.868253123396246</v>
      </c>
      <c r="G89" s="24">
        <v>4.5</v>
      </c>
      <c r="H89" s="33">
        <v>333.119505711689</v>
      </c>
      <c r="I89" s="27">
        <v>44.0456485301033</v>
      </c>
      <c r="J89" s="35">
        <v>83.4281021714365</v>
      </c>
    </row>
    <row r="90" spans="1:10">
      <c r="A90" s="32">
        <v>65</v>
      </c>
      <c r="B90" s="32">
        <v>6.6</v>
      </c>
      <c r="C90" s="32">
        <v>21.9</v>
      </c>
      <c r="D90" s="32">
        <v>21.5</v>
      </c>
      <c r="E90" s="2">
        <v>0.12</v>
      </c>
      <c r="F90" s="2">
        <v>0.831152647810126</v>
      </c>
      <c r="G90" s="24">
        <v>5.7</v>
      </c>
      <c r="H90" s="33">
        <v>421.619558389004</v>
      </c>
      <c r="I90" s="27">
        <v>51.277504104547</v>
      </c>
      <c r="J90" s="35">
        <v>86.7773230883079</v>
      </c>
    </row>
    <row r="91" spans="1:10">
      <c r="A91" s="32">
        <v>70</v>
      </c>
      <c r="B91" s="32">
        <v>6.6</v>
      </c>
      <c r="C91" s="32">
        <v>22</v>
      </c>
      <c r="D91" s="32">
        <v>21.5</v>
      </c>
      <c r="E91" s="2">
        <v>0.12</v>
      </c>
      <c r="F91" s="2">
        <v>0.784179277129304</v>
      </c>
      <c r="G91" s="24">
        <v>7</v>
      </c>
      <c r="H91" s="33">
        <v>521.912826143979</v>
      </c>
      <c r="I91" s="27">
        <v>56.2499899974366</v>
      </c>
      <c r="J91" s="35">
        <v>87.9243281093727</v>
      </c>
    </row>
    <row r="92" spans="1:10">
      <c r="A92" s="32">
        <v>45</v>
      </c>
      <c r="B92" s="32">
        <v>8</v>
      </c>
      <c r="C92" s="32">
        <v>22.2</v>
      </c>
      <c r="D92" s="32">
        <v>21.4</v>
      </c>
      <c r="E92" s="2">
        <v>0.12</v>
      </c>
      <c r="F92" s="2">
        <v>0.93913980595102</v>
      </c>
      <c r="G92" s="24">
        <v>2.4</v>
      </c>
      <c r="H92" s="33">
        <v>176.388377166368</v>
      </c>
      <c r="I92" s="27">
        <v>28.3357961368529</v>
      </c>
      <c r="J92" s="35">
        <v>68.2850272152966</v>
      </c>
    </row>
    <row r="93" spans="1:10">
      <c r="A93" s="32">
        <v>50</v>
      </c>
      <c r="B93" s="32">
        <v>8</v>
      </c>
      <c r="C93" s="32">
        <v>22.2</v>
      </c>
      <c r="D93" s="32">
        <v>21.4</v>
      </c>
      <c r="E93" s="2">
        <v>0.12</v>
      </c>
      <c r="F93" s="2">
        <v>0.920818198615511</v>
      </c>
      <c r="G93" s="24">
        <v>3.1</v>
      </c>
      <c r="H93" s="33">
        <v>233.637011123832</v>
      </c>
      <c r="I93" s="27">
        <v>32.7453338435407</v>
      </c>
      <c r="J93" s="35">
        <v>71.3583626393052</v>
      </c>
    </row>
    <row r="94" spans="1:10">
      <c r="A94" s="32">
        <v>55</v>
      </c>
      <c r="B94" s="32">
        <v>8</v>
      </c>
      <c r="C94" s="32">
        <v>22.2</v>
      </c>
      <c r="D94" s="32">
        <v>21.4</v>
      </c>
      <c r="E94" s="2">
        <v>0.12</v>
      </c>
      <c r="F94" s="2">
        <v>0.89760467536325</v>
      </c>
      <c r="G94" s="24">
        <v>4.2</v>
      </c>
      <c r="H94" s="33">
        <v>311.820645779812</v>
      </c>
      <c r="I94" s="27">
        <v>39.295269545617</v>
      </c>
      <c r="J94" s="35">
        <v>78.633722232677</v>
      </c>
    </row>
    <row r="95" spans="1:10">
      <c r="A95" s="32">
        <v>60</v>
      </c>
      <c r="B95" s="32">
        <v>8</v>
      </c>
      <c r="C95" s="32">
        <v>22.3</v>
      </c>
      <c r="D95" s="32">
        <v>21.4</v>
      </c>
      <c r="E95" s="2">
        <v>0.12</v>
      </c>
      <c r="F95" s="2">
        <v>0.868253123396246</v>
      </c>
      <c r="G95" s="24">
        <v>5.5</v>
      </c>
      <c r="H95" s="33">
        <v>404.53609540261</v>
      </c>
      <c r="I95" s="27">
        <v>45.2891199192711</v>
      </c>
      <c r="J95" s="35">
        <v>84.1768884162995</v>
      </c>
    </row>
    <row r="96" spans="1:10">
      <c r="A96" s="32">
        <v>65</v>
      </c>
      <c r="B96" s="32">
        <v>8</v>
      </c>
      <c r="C96" s="32">
        <v>22.3</v>
      </c>
      <c r="D96" s="32">
        <v>21.4</v>
      </c>
      <c r="E96" s="2">
        <v>0.12</v>
      </c>
      <c r="F96" s="2">
        <v>0.831152647810126</v>
      </c>
      <c r="G96" s="24">
        <v>6.9</v>
      </c>
      <c r="H96" s="33">
        <v>509.840850004537</v>
      </c>
      <c r="I96" s="27">
        <v>52.8089345820265</v>
      </c>
      <c r="J96" s="35">
        <v>86.7178757412216</v>
      </c>
    </row>
    <row r="97" spans="1:10">
      <c r="A97" s="32">
        <v>70</v>
      </c>
      <c r="B97" s="32">
        <v>8</v>
      </c>
      <c r="C97" s="32">
        <v>22.3</v>
      </c>
      <c r="D97" s="32">
        <v>21.4</v>
      </c>
      <c r="E97" s="2">
        <v>0.12</v>
      </c>
      <c r="F97" s="2">
        <v>0.784179277129304</v>
      </c>
      <c r="G97" s="24">
        <v>8.7</v>
      </c>
      <c r="H97" s="33">
        <v>639.821349201626</v>
      </c>
      <c r="I97" s="27">
        <v>62.2060046282236</v>
      </c>
      <c r="J97" s="35">
        <v>90.1962001922299</v>
      </c>
    </row>
    <row r="98" spans="1:10">
      <c r="A98" s="36">
        <v>45</v>
      </c>
      <c r="B98" s="37">
        <v>4.5</v>
      </c>
      <c r="C98" s="37">
        <v>35.7</v>
      </c>
      <c r="D98" s="37">
        <v>22</v>
      </c>
      <c r="E98" s="37">
        <v>32.9616</v>
      </c>
      <c r="F98" s="37">
        <v>0.93913980595102</v>
      </c>
      <c r="G98" s="38">
        <v>11.6</v>
      </c>
      <c r="H98" s="39">
        <v>34.5636789927086</v>
      </c>
      <c r="I98" s="42">
        <v>2.76182545847856</v>
      </c>
      <c r="J98" s="43">
        <v>11.7365443096772</v>
      </c>
    </row>
    <row r="99" spans="1:10">
      <c r="A99" s="32">
        <v>50</v>
      </c>
      <c r="B99" s="22">
        <v>4.5</v>
      </c>
      <c r="C99" s="22">
        <v>40.3</v>
      </c>
      <c r="D99" s="40">
        <v>22</v>
      </c>
      <c r="E99" s="41">
        <v>36.6511</v>
      </c>
      <c r="F99" s="41">
        <v>0.920818198615511</v>
      </c>
      <c r="G99" s="24">
        <v>15.5</v>
      </c>
      <c r="H99" s="33">
        <v>42.4016748132982</v>
      </c>
      <c r="I99" s="27">
        <v>2.78661186404985</v>
      </c>
      <c r="J99" s="35">
        <v>10.5406821578125</v>
      </c>
    </row>
    <row r="100" spans="1:10">
      <c r="A100" s="32">
        <v>55</v>
      </c>
      <c r="B100" s="22">
        <v>4.5</v>
      </c>
      <c r="C100" s="22">
        <v>45.9</v>
      </c>
      <c r="D100" s="40">
        <v>22</v>
      </c>
      <c r="E100" s="41">
        <v>42.3086</v>
      </c>
      <c r="F100" s="41">
        <v>0.89760467536325</v>
      </c>
      <c r="G100" s="24">
        <v>21.5</v>
      </c>
      <c r="H100" s="33">
        <v>48.9862093333355</v>
      </c>
      <c r="I100" s="27">
        <v>2.88991543942159</v>
      </c>
      <c r="J100" s="35">
        <v>9.61252342466017</v>
      </c>
    </row>
    <row r="101" spans="1:10">
      <c r="A101" s="32">
        <v>60</v>
      </c>
      <c r="B101" s="22">
        <v>4.5</v>
      </c>
      <c r="C101" s="22">
        <v>51.6</v>
      </c>
      <c r="D101" s="40">
        <v>22</v>
      </c>
      <c r="E101" s="41">
        <v>44.3423</v>
      </c>
      <c r="F101" s="41">
        <v>0.868253123396246</v>
      </c>
      <c r="G101" s="24">
        <v>23.6</v>
      </c>
      <c r="H101" s="33">
        <v>55.3906881873281</v>
      </c>
      <c r="I101" s="27">
        <v>2.62575969619921</v>
      </c>
      <c r="J101" s="35">
        <v>8.15452050646361</v>
      </c>
    </row>
    <row r="102" spans="1:10">
      <c r="A102" s="32">
        <v>65</v>
      </c>
      <c r="B102" s="22">
        <v>4.5</v>
      </c>
      <c r="C102" s="22">
        <v>57</v>
      </c>
      <c r="D102" s="40">
        <v>22</v>
      </c>
      <c r="E102" s="41">
        <v>47.0278</v>
      </c>
      <c r="F102" s="41">
        <v>0.831152647810126</v>
      </c>
      <c r="G102" s="24">
        <v>27.8</v>
      </c>
      <c r="H102" s="33">
        <v>64.6643607760081</v>
      </c>
      <c r="I102" s="27">
        <v>2.72391315190376</v>
      </c>
      <c r="J102" s="35">
        <v>7.11335856311337</v>
      </c>
    </row>
    <row r="103" spans="1:10">
      <c r="A103" s="32">
        <v>70</v>
      </c>
      <c r="B103" s="22">
        <v>4.5</v>
      </c>
      <c r="C103" s="22">
        <v>63.2</v>
      </c>
      <c r="D103" s="40">
        <v>22</v>
      </c>
      <c r="E103" s="41">
        <v>49.0627</v>
      </c>
      <c r="F103" s="41">
        <v>0.784179277129304</v>
      </c>
      <c r="G103" s="24">
        <v>29.3</v>
      </c>
      <c r="H103" s="33">
        <v>70.2968340355737</v>
      </c>
      <c r="I103" s="27">
        <v>2.46793354899784</v>
      </c>
      <c r="J103" s="35">
        <v>6.03451867610981</v>
      </c>
    </row>
    <row r="104" spans="1:10">
      <c r="A104" s="32">
        <v>45</v>
      </c>
      <c r="B104" s="40">
        <v>5.6</v>
      </c>
      <c r="C104" s="33">
        <v>37.2</v>
      </c>
      <c r="D104" s="40">
        <v>22</v>
      </c>
      <c r="E104" s="41">
        <v>35.5206</v>
      </c>
      <c r="F104" s="41">
        <v>0.93913980595102</v>
      </c>
      <c r="G104" s="24">
        <v>13.2</v>
      </c>
      <c r="H104" s="33">
        <v>36.9512633696279</v>
      </c>
      <c r="I104" s="27">
        <v>3.00340581811093</v>
      </c>
      <c r="J104" s="35">
        <v>9.87197790505388</v>
      </c>
    </row>
    <row r="105" spans="1:10">
      <c r="A105" s="32">
        <v>50</v>
      </c>
      <c r="B105" s="40">
        <v>5.6</v>
      </c>
      <c r="C105" s="33">
        <v>40.9</v>
      </c>
      <c r="D105" s="40">
        <v>22</v>
      </c>
      <c r="E105" s="41">
        <v>39.6681</v>
      </c>
      <c r="F105" s="41">
        <v>0.920818198615511</v>
      </c>
      <c r="G105" s="24">
        <v>17.9</v>
      </c>
      <c r="H105" s="33">
        <v>48.9232854584591</v>
      </c>
      <c r="I105" s="27">
        <v>3.48370761911052</v>
      </c>
      <c r="J105" s="35">
        <v>8.89194589420692</v>
      </c>
    </row>
    <row r="106" spans="1:10">
      <c r="A106" s="32">
        <v>55</v>
      </c>
      <c r="B106" s="40">
        <v>5.6</v>
      </c>
      <c r="C106" s="33">
        <v>45.8</v>
      </c>
      <c r="D106" s="40">
        <v>22</v>
      </c>
      <c r="E106" s="41">
        <v>43.2489</v>
      </c>
      <c r="F106" s="41">
        <v>0.89760467536325</v>
      </c>
      <c r="G106" s="24">
        <v>22.8</v>
      </c>
      <c r="H106" s="33">
        <v>59.088103906484</v>
      </c>
      <c r="I106" s="27">
        <v>3.68126647163975</v>
      </c>
      <c r="J106" s="35">
        <v>7.86471343359743</v>
      </c>
    </row>
    <row r="107" spans="1:10">
      <c r="A107" s="32">
        <v>60</v>
      </c>
      <c r="B107" s="40">
        <v>5.6</v>
      </c>
      <c r="C107" s="33">
        <v>50.4</v>
      </c>
      <c r="D107" s="40">
        <v>22</v>
      </c>
      <c r="E107" s="41">
        <v>47.1371</v>
      </c>
      <c r="F107" s="41">
        <v>0.868253123396246</v>
      </c>
      <c r="G107" s="24">
        <v>27.5</v>
      </c>
      <c r="H107" s="33">
        <v>73.0879189647522</v>
      </c>
      <c r="I107" s="27">
        <v>4.0627650511294</v>
      </c>
      <c r="J107" s="35">
        <v>6.86875747486655</v>
      </c>
    </row>
    <row r="108" spans="1:10">
      <c r="A108" s="32">
        <v>65</v>
      </c>
      <c r="B108" s="40">
        <v>5.6</v>
      </c>
      <c r="C108" s="33">
        <v>56.5</v>
      </c>
      <c r="D108" s="40">
        <v>22</v>
      </c>
      <c r="E108" s="41">
        <v>51.8689</v>
      </c>
      <c r="F108" s="41">
        <v>0.831152647810126</v>
      </c>
      <c r="G108" s="24">
        <v>31</v>
      </c>
      <c r="H108" s="33">
        <v>81.5207563702851</v>
      </c>
      <c r="I108" s="27">
        <v>3.82623167874073</v>
      </c>
      <c r="J108" s="35">
        <v>5.96114890895202</v>
      </c>
    </row>
    <row r="109" spans="1:10">
      <c r="A109" s="32">
        <v>70</v>
      </c>
      <c r="B109" s="40">
        <v>5.6</v>
      </c>
      <c r="C109" s="33">
        <v>64</v>
      </c>
      <c r="D109" s="40">
        <v>22</v>
      </c>
      <c r="E109" s="41">
        <v>56.796</v>
      </c>
      <c r="F109" s="41">
        <v>0.784179277129304</v>
      </c>
      <c r="G109" s="24">
        <v>35.6</v>
      </c>
      <c r="H109" s="33">
        <v>78.8887655876071</v>
      </c>
      <c r="I109" s="27">
        <v>3.25142484838256</v>
      </c>
      <c r="J109" s="35">
        <v>5.39337311503248</v>
      </c>
    </row>
    <row r="110" spans="1:10">
      <c r="A110" s="32">
        <v>45</v>
      </c>
      <c r="B110" s="22">
        <v>6.8</v>
      </c>
      <c r="C110" s="22">
        <v>37.8</v>
      </c>
      <c r="D110" s="40">
        <v>22</v>
      </c>
      <c r="E110" s="41">
        <v>36.3399</v>
      </c>
      <c r="F110" s="41">
        <v>0.93913980595102</v>
      </c>
      <c r="G110" s="24">
        <v>14.7</v>
      </c>
      <c r="H110" s="33">
        <v>41.0979914699756</v>
      </c>
      <c r="I110" s="27">
        <v>3.52760185025023</v>
      </c>
      <c r="J110" s="35">
        <v>8.43825857347987</v>
      </c>
    </row>
    <row r="111" spans="1:10">
      <c r="A111" s="32">
        <v>50</v>
      </c>
      <c r="B111" s="22">
        <v>6.8</v>
      </c>
      <c r="C111" s="22">
        <v>41.5</v>
      </c>
      <c r="D111" s="40">
        <v>22</v>
      </c>
      <c r="E111" s="41">
        <v>40.3027</v>
      </c>
      <c r="F111" s="41">
        <v>0.920818198615511</v>
      </c>
      <c r="G111" s="24">
        <v>18.9</v>
      </c>
      <c r="H111" s="33">
        <v>54.958922267127</v>
      </c>
      <c r="I111" s="27">
        <v>4.02753806510668</v>
      </c>
      <c r="J111" s="35">
        <v>7.45981806692372</v>
      </c>
    </row>
    <row r="112" spans="1:10">
      <c r="A112" s="32">
        <v>55</v>
      </c>
      <c r="B112" s="22">
        <v>6.8</v>
      </c>
      <c r="C112" s="22">
        <v>46.2</v>
      </c>
      <c r="D112" s="40">
        <v>22</v>
      </c>
      <c r="E112" s="41">
        <v>43.2167</v>
      </c>
      <c r="F112" s="41">
        <v>0.89760467536325</v>
      </c>
      <c r="G112" s="24">
        <v>23.3</v>
      </c>
      <c r="H112" s="33">
        <v>67.5456423206533</v>
      </c>
      <c r="I112" s="27">
        <v>4.2587608894458</v>
      </c>
      <c r="J112" s="35">
        <v>6.52432497946915</v>
      </c>
    </row>
    <row r="113" spans="1:10">
      <c r="A113" s="32">
        <v>60</v>
      </c>
      <c r="B113" s="22">
        <v>6.8</v>
      </c>
      <c r="C113" s="22">
        <v>50.9</v>
      </c>
      <c r="D113" s="40">
        <v>22</v>
      </c>
      <c r="E113" s="41">
        <v>47.3513</v>
      </c>
      <c r="F113" s="41">
        <v>0.868253123396246</v>
      </c>
      <c r="G113" s="24">
        <v>28</v>
      </c>
      <c r="H113" s="33">
        <v>83.3933859614105</v>
      </c>
      <c r="I113" s="27">
        <v>4.6826334965985</v>
      </c>
      <c r="J113" s="35">
        <v>5.69650331275332</v>
      </c>
    </row>
    <row r="114" spans="1:10">
      <c r="A114" s="32">
        <v>65</v>
      </c>
      <c r="B114" s="22">
        <v>6.8</v>
      </c>
      <c r="C114" s="22">
        <v>57</v>
      </c>
      <c r="D114" s="40">
        <v>22</v>
      </c>
      <c r="E114" s="41">
        <v>52.2896</v>
      </c>
      <c r="F114" s="41">
        <v>0.831152647810126</v>
      </c>
      <c r="G114" s="24">
        <v>31.4</v>
      </c>
      <c r="H114" s="33">
        <v>92.6387451027619</v>
      </c>
      <c r="I114" s="27">
        <v>4.37200625172305</v>
      </c>
      <c r="J114" s="35">
        <v>4.94195192134837</v>
      </c>
    </row>
    <row r="115" spans="1:10">
      <c r="A115" s="32">
        <v>70</v>
      </c>
      <c r="B115" s="22">
        <v>6.8</v>
      </c>
      <c r="C115" s="22">
        <v>63.8</v>
      </c>
      <c r="D115" s="40">
        <v>22</v>
      </c>
      <c r="E115" s="41">
        <v>57.495</v>
      </c>
      <c r="F115" s="41">
        <v>0.784179277129304</v>
      </c>
      <c r="G115" s="24">
        <v>36.8</v>
      </c>
      <c r="H115" s="33">
        <v>95.6679550213466</v>
      </c>
      <c r="I115" s="27">
        <v>4.11741922979141</v>
      </c>
      <c r="J115" s="35">
        <v>4.56588104068714</v>
      </c>
    </row>
    <row r="116" spans="1:10">
      <c r="A116" s="32">
        <v>45</v>
      </c>
      <c r="B116" s="22">
        <v>8</v>
      </c>
      <c r="C116" s="22">
        <v>38.5</v>
      </c>
      <c r="D116" s="22">
        <v>22.1</v>
      </c>
      <c r="E116" s="41">
        <v>39.6222</v>
      </c>
      <c r="F116" s="41">
        <v>0.93913980595102</v>
      </c>
      <c r="G116" s="24">
        <v>16.5</v>
      </c>
      <c r="H116" s="33">
        <v>43.9466286326714</v>
      </c>
      <c r="I116" s="27">
        <v>4.13530455887116</v>
      </c>
      <c r="J116" s="35">
        <v>7.45208510492311</v>
      </c>
    </row>
    <row r="117" spans="1:10">
      <c r="A117" s="32">
        <v>50</v>
      </c>
      <c r="B117" s="22">
        <v>8</v>
      </c>
      <c r="C117" s="22">
        <v>41.8</v>
      </c>
      <c r="D117" s="22">
        <v>22.1</v>
      </c>
      <c r="E117" s="41">
        <v>42.4698</v>
      </c>
      <c r="F117" s="41">
        <v>0.920818198615511</v>
      </c>
      <c r="G117" s="24">
        <v>19.1</v>
      </c>
      <c r="H117" s="33">
        <v>61.414386235949</v>
      </c>
      <c r="I117" s="27">
        <v>4.54053412175438</v>
      </c>
      <c r="J117" s="35">
        <v>6.35458518880665</v>
      </c>
    </row>
    <row r="118" spans="1:10">
      <c r="A118" s="32">
        <v>55</v>
      </c>
      <c r="B118" s="22">
        <v>8</v>
      </c>
      <c r="C118" s="22">
        <v>47</v>
      </c>
      <c r="D118" s="22">
        <v>22.1</v>
      </c>
      <c r="E118" s="41">
        <v>45.2764</v>
      </c>
      <c r="F118" s="41">
        <v>0.89760467536325</v>
      </c>
      <c r="G118" s="24">
        <v>24.7</v>
      </c>
      <c r="H118" s="33">
        <v>72.814609844039</v>
      </c>
      <c r="I118" s="27">
        <v>4.84297229384292</v>
      </c>
      <c r="J118" s="35">
        <v>5.6434916385145</v>
      </c>
    </row>
    <row r="119" spans="1:10">
      <c r="A119" s="32">
        <v>60</v>
      </c>
      <c r="B119" s="22">
        <v>8</v>
      </c>
      <c r="C119" s="22">
        <v>51.6</v>
      </c>
      <c r="D119" s="22">
        <v>22.1</v>
      </c>
      <c r="E119" s="41">
        <v>48.9918</v>
      </c>
      <c r="F119" s="41">
        <v>0.868253123396246</v>
      </c>
      <c r="G119" s="24">
        <v>28.8</v>
      </c>
      <c r="H119" s="33">
        <v>91.0395780091374</v>
      </c>
      <c r="I119" s="27">
        <v>5.24868091459516</v>
      </c>
      <c r="J119" s="35">
        <v>4.88891116591009</v>
      </c>
    </row>
    <row r="120" spans="1:10">
      <c r="A120" s="32">
        <v>65</v>
      </c>
      <c r="B120" s="22">
        <v>8</v>
      </c>
      <c r="C120" s="22">
        <v>57.9</v>
      </c>
      <c r="D120" s="22">
        <v>22.1</v>
      </c>
      <c r="E120" s="41">
        <v>52.6228</v>
      </c>
      <c r="F120" s="41">
        <v>0.831152647810126</v>
      </c>
      <c r="G120" s="24">
        <v>32.5</v>
      </c>
      <c r="H120" s="33">
        <v>98.4329924707362</v>
      </c>
      <c r="I120" s="27">
        <v>4.79043955779361</v>
      </c>
      <c r="J120" s="35">
        <v>4.27449029238615</v>
      </c>
    </row>
    <row r="121" spans="1:10">
      <c r="A121" s="32">
        <v>70</v>
      </c>
      <c r="B121" s="22">
        <v>8</v>
      </c>
      <c r="C121" s="22">
        <v>63.8</v>
      </c>
      <c r="D121" s="22">
        <v>22.1</v>
      </c>
      <c r="E121" s="41">
        <v>57.5329</v>
      </c>
      <c r="F121" s="41">
        <v>0.784179277129304</v>
      </c>
      <c r="G121" s="24">
        <v>37.5</v>
      </c>
      <c r="H121" s="33">
        <v>110.522639887488</v>
      </c>
      <c r="I121" s="27">
        <v>4.90358699870626</v>
      </c>
      <c r="J121" s="35">
        <v>3.95175791530666</v>
      </c>
    </row>
    <row r="122" spans="1:10">
      <c r="A122" s="32">
        <v>45</v>
      </c>
      <c r="B122" s="22">
        <v>4.5</v>
      </c>
      <c r="C122" s="22">
        <v>31.2</v>
      </c>
      <c r="D122" s="22">
        <v>22.3</v>
      </c>
      <c r="E122" s="41">
        <v>33.2195</v>
      </c>
      <c r="F122" s="41">
        <v>0.93913980595102</v>
      </c>
      <c r="G122" s="24">
        <v>11.6</v>
      </c>
      <c r="H122" s="33">
        <v>50.4970292653497</v>
      </c>
      <c r="I122" s="27">
        <v>5.07021921720014</v>
      </c>
      <c r="J122" s="35">
        <v>20.9024327936026</v>
      </c>
    </row>
    <row r="123" spans="1:10">
      <c r="A123" s="32">
        <v>50</v>
      </c>
      <c r="B123" s="22">
        <v>4.5</v>
      </c>
      <c r="C123" s="22">
        <v>34.5</v>
      </c>
      <c r="D123" s="22">
        <v>22.3</v>
      </c>
      <c r="E123" s="41">
        <v>36.3562</v>
      </c>
      <c r="F123" s="41">
        <v>0.920818198615511</v>
      </c>
      <c r="G123" s="24">
        <v>15.9</v>
      </c>
      <c r="H123" s="33">
        <v>63.7087318317621</v>
      </c>
      <c r="I123" s="27">
        <v>5.30955264764731</v>
      </c>
      <c r="J123" s="35">
        <v>18.8763356705649</v>
      </c>
    </row>
    <row r="124" spans="1:10">
      <c r="A124" s="32">
        <v>55</v>
      </c>
      <c r="B124" s="22">
        <v>4.5</v>
      </c>
      <c r="C124" s="22">
        <v>38.6</v>
      </c>
      <c r="D124" s="22">
        <v>22.3</v>
      </c>
      <c r="E124" s="41">
        <v>42.479</v>
      </c>
      <c r="F124" s="41">
        <v>0.89760467536325</v>
      </c>
      <c r="G124" s="24">
        <v>22.1</v>
      </c>
      <c r="H124" s="33">
        <v>78.2273194520203</v>
      </c>
      <c r="I124" s="27">
        <v>5.90562884336111</v>
      </c>
      <c r="J124" s="35">
        <v>17.1603112304424</v>
      </c>
    </row>
    <row r="125" spans="1:10">
      <c r="A125" s="32">
        <v>60</v>
      </c>
      <c r="B125" s="22">
        <v>4.5</v>
      </c>
      <c r="C125" s="22">
        <v>43.2</v>
      </c>
      <c r="D125" s="22">
        <v>22.3</v>
      </c>
      <c r="E125" s="41">
        <v>44.7449</v>
      </c>
      <c r="F125" s="41">
        <v>0.868253123396246</v>
      </c>
      <c r="G125" s="24">
        <v>26.3</v>
      </c>
      <c r="H125" s="33">
        <v>93.7837796924951</v>
      </c>
      <c r="I125" s="27">
        <v>5.98375859639705</v>
      </c>
      <c r="J125" s="35">
        <v>14.9124990674608</v>
      </c>
    </row>
    <row r="126" spans="1:10">
      <c r="A126" s="32">
        <v>65</v>
      </c>
      <c r="B126" s="22">
        <v>4.5</v>
      </c>
      <c r="C126" s="22">
        <v>48.6</v>
      </c>
      <c r="D126" s="22">
        <v>22.3</v>
      </c>
      <c r="E126" s="41">
        <v>47.2343</v>
      </c>
      <c r="F126" s="41">
        <v>0.831152647810126</v>
      </c>
      <c r="G126" s="24">
        <v>28.5</v>
      </c>
      <c r="H126" s="33">
        <v>109.77915795506</v>
      </c>
      <c r="I126" s="27">
        <v>5.591723660661</v>
      </c>
      <c r="J126" s="35">
        <v>12.6925233980594</v>
      </c>
    </row>
    <row r="127" spans="1:10">
      <c r="A127" s="32">
        <v>70</v>
      </c>
      <c r="B127" s="22">
        <v>4.5</v>
      </c>
      <c r="C127" s="22">
        <v>53.6</v>
      </c>
      <c r="D127" s="22">
        <v>22.3</v>
      </c>
      <c r="E127" s="41">
        <v>49.3714</v>
      </c>
      <c r="F127" s="41">
        <v>0.784179277129304</v>
      </c>
      <c r="G127" s="24">
        <v>30</v>
      </c>
      <c r="H127" s="33">
        <v>130.991623361943</v>
      </c>
      <c r="I127" s="27">
        <v>5.49060498986015</v>
      </c>
      <c r="J127" s="35">
        <v>10.7613461705508</v>
      </c>
    </row>
    <row r="128" spans="1:10">
      <c r="A128" s="32">
        <v>45</v>
      </c>
      <c r="B128" s="40">
        <v>5.6</v>
      </c>
      <c r="C128" s="22">
        <v>32</v>
      </c>
      <c r="D128" s="22">
        <v>22.3</v>
      </c>
      <c r="E128" s="41">
        <v>35.6669</v>
      </c>
      <c r="F128" s="41">
        <v>0.93913980595102</v>
      </c>
      <c r="G128" s="24">
        <v>14.4</v>
      </c>
      <c r="H128" s="33">
        <v>58.4029032037187</v>
      </c>
      <c r="I128" s="27">
        <v>6.50234440908294</v>
      </c>
      <c r="J128" s="35">
        <v>18.0721093919905</v>
      </c>
    </row>
    <row r="129" spans="1:10">
      <c r="A129" s="32">
        <v>50</v>
      </c>
      <c r="B129" s="40">
        <v>5.6</v>
      </c>
      <c r="C129" s="22">
        <v>35.1</v>
      </c>
      <c r="D129" s="22">
        <v>22.3</v>
      </c>
      <c r="E129" s="41">
        <v>39.3233</v>
      </c>
      <c r="F129" s="41">
        <v>0.920818198615511</v>
      </c>
      <c r="G129" s="24">
        <v>18.5</v>
      </c>
      <c r="H129" s="33">
        <v>74.4827960302862</v>
      </c>
      <c r="I129" s="27">
        <v>6.832590056633</v>
      </c>
      <c r="J129" s="35">
        <v>15.9505804485887</v>
      </c>
    </row>
    <row r="130" spans="1:10">
      <c r="A130" s="32">
        <v>55</v>
      </c>
      <c r="B130" s="40">
        <v>5.6</v>
      </c>
      <c r="C130" s="22">
        <v>39.6</v>
      </c>
      <c r="D130" s="22">
        <v>22.3</v>
      </c>
      <c r="E130" s="41">
        <v>43.4491</v>
      </c>
      <c r="F130" s="41">
        <v>0.89760467536325</v>
      </c>
      <c r="G130" s="24">
        <v>23.3</v>
      </c>
      <c r="H130" s="33">
        <v>90.0630867997573</v>
      </c>
      <c r="I130" s="27">
        <v>6.95420200598042</v>
      </c>
      <c r="J130" s="35">
        <v>14.0375167361731</v>
      </c>
    </row>
    <row r="131" spans="1:10">
      <c r="A131" s="32">
        <v>60</v>
      </c>
      <c r="B131" s="40">
        <v>5.6</v>
      </c>
      <c r="C131" s="22">
        <v>44.5</v>
      </c>
      <c r="D131" s="22">
        <v>22.3</v>
      </c>
      <c r="E131" s="41">
        <v>47.5652</v>
      </c>
      <c r="F131" s="41">
        <v>0.868253123396246</v>
      </c>
      <c r="G131" s="24">
        <v>28.5</v>
      </c>
      <c r="H131" s="33">
        <v>107.742349542493</v>
      </c>
      <c r="I131" s="27">
        <v>7.3006945782565</v>
      </c>
      <c r="J131" s="35">
        <v>12.3467843013178</v>
      </c>
    </row>
    <row r="132" spans="1:10">
      <c r="A132" s="32">
        <v>65</v>
      </c>
      <c r="B132" s="40">
        <v>5.6</v>
      </c>
      <c r="C132" s="22">
        <v>49.8</v>
      </c>
      <c r="D132" s="22">
        <v>22.3</v>
      </c>
      <c r="E132" s="41">
        <v>52.1008</v>
      </c>
      <c r="F132" s="41">
        <v>0.831152647810126</v>
      </c>
      <c r="G132" s="24">
        <v>31.7</v>
      </c>
      <c r="H132" s="33">
        <v>127.323773617133</v>
      </c>
      <c r="I132" s="27">
        <v>7.07064204318922</v>
      </c>
      <c r="J132" s="35">
        <v>10.6937885642437</v>
      </c>
    </row>
    <row r="133" spans="1:10">
      <c r="A133" s="32">
        <v>70</v>
      </c>
      <c r="B133" s="40">
        <v>5.6</v>
      </c>
      <c r="C133" s="22">
        <v>54.3</v>
      </c>
      <c r="D133" s="22">
        <v>22.3</v>
      </c>
      <c r="E133" s="41">
        <v>57.0887</v>
      </c>
      <c r="F133" s="41">
        <v>0.784179277129304</v>
      </c>
      <c r="G133" s="24">
        <v>35.9</v>
      </c>
      <c r="H133" s="33">
        <v>156.662084048683</v>
      </c>
      <c r="I133" s="27">
        <v>7.73721747797166</v>
      </c>
      <c r="J133" s="35">
        <v>9.62525595295641</v>
      </c>
    </row>
    <row r="134" spans="1:10">
      <c r="A134" s="32">
        <v>45</v>
      </c>
      <c r="B134" s="22">
        <v>6.8</v>
      </c>
      <c r="C134" s="22">
        <v>32.6</v>
      </c>
      <c r="D134" s="22">
        <v>22.3</v>
      </c>
      <c r="E134" s="41">
        <v>39.4392</v>
      </c>
      <c r="F134" s="41">
        <v>0.93913980595102</v>
      </c>
      <c r="G134" s="24">
        <v>17.5</v>
      </c>
      <c r="H134" s="33">
        <v>66.7637921751493</v>
      </c>
      <c r="I134" s="27">
        <v>8.94746441128801</v>
      </c>
      <c r="J134" s="35">
        <v>15.8870550707707</v>
      </c>
    </row>
    <row r="135" spans="1:10">
      <c r="A135" s="32">
        <v>50</v>
      </c>
      <c r="B135" s="22">
        <v>6.8</v>
      </c>
      <c r="C135" s="22">
        <v>36.9</v>
      </c>
      <c r="D135" s="22">
        <v>22.5</v>
      </c>
      <c r="E135" s="41">
        <v>42.8943</v>
      </c>
      <c r="F135" s="41">
        <v>0.920818198615511</v>
      </c>
      <c r="G135" s="24">
        <v>21.3</v>
      </c>
      <c r="H135" s="33">
        <v>81.3097711566598</v>
      </c>
      <c r="I135" s="27">
        <v>8.35585728037204</v>
      </c>
      <c r="J135" s="35">
        <v>13.7199122821031</v>
      </c>
    </row>
    <row r="136" spans="1:10">
      <c r="A136" s="32">
        <v>55</v>
      </c>
      <c r="B136" s="22">
        <v>6.8</v>
      </c>
      <c r="C136" s="22">
        <v>40.5</v>
      </c>
      <c r="D136" s="22">
        <v>22.5</v>
      </c>
      <c r="E136" s="41">
        <v>46.2902</v>
      </c>
      <c r="F136" s="41">
        <v>0.89760467536325</v>
      </c>
      <c r="G136" s="24">
        <v>25.5</v>
      </c>
      <c r="H136" s="33">
        <v>102.293084416845</v>
      </c>
      <c r="I136" s="27">
        <v>8.78289918923881</v>
      </c>
      <c r="J136" s="35">
        <v>11.8634432040995</v>
      </c>
    </row>
    <row r="137" spans="1:10">
      <c r="A137" s="32">
        <v>60</v>
      </c>
      <c r="B137" s="22">
        <v>6.8</v>
      </c>
      <c r="C137" s="22">
        <v>45.9</v>
      </c>
      <c r="D137" s="22">
        <v>22.5</v>
      </c>
      <c r="E137" s="41">
        <v>49.6046</v>
      </c>
      <c r="F137" s="41">
        <v>0.868253123396246</v>
      </c>
      <c r="G137" s="24">
        <v>28.7</v>
      </c>
      <c r="H137" s="33">
        <v>119.902148275979</v>
      </c>
      <c r="I137" s="27">
        <v>8.0316725106598</v>
      </c>
      <c r="J137" s="35">
        <v>10.1831922535789</v>
      </c>
    </row>
    <row r="138" spans="1:10">
      <c r="A138" s="32">
        <v>65</v>
      </c>
      <c r="B138" s="22">
        <v>6.8</v>
      </c>
      <c r="C138" s="22">
        <v>50.6</v>
      </c>
      <c r="D138" s="22">
        <v>22.5</v>
      </c>
      <c r="E138" s="41">
        <v>54.8107</v>
      </c>
      <c r="F138" s="41">
        <v>0.831152647810126</v>
      </c>
      <c r="G138" s="24">
        <v>33.1</v>
      </c>
      <c r="H138" s="33">
        <v>146.055296919188</v>
      </c>
      <c r="I138" s="27">
        <v>8.55290358018111</v>
      </c>
      <c r="J138" s="35">
        <v>9.00987055402792</v>
      </c>
    </row>
    <row r="139" spans="1:10">
      <c r="A139" s="32">
        <v>70</v>
      </c>
      <c r="B139" s="22">
        <v>6.8</v>
      </c>
      <c r="C139" s="22">
        <v>56.2</v>
      </c>
      <c r="D139" s="22">
        <v>22.5</v>
      </c>
      <c r="E139" s="41">
        <v>59.393</v>
      </c>
      <c r="F139" s="41">
        <v>0.784179277129304</v>
      </c>
      <c r="G139" s="24">
        <v>38.2</v>
      </c>
      <c r="H139" s="33">
        <v>173.941525864547</v>
      </c>
      <c r="I139" s="27">
        <v>9.17814891769443</v>
      </c>
      <c r="J139" s="35">
        <v>8.45413589329076</v>
      </c>
    </row>
    <row r="140" spans="1:10">
      <c r="A140" s="32">
        <v>45</v>
      </c>
      <c r="B140" s="22">
        <v>8</v>
      </c>
      <c r="C140" s="22">
        <v>34.5</v>
      </c>
      <c r="D140" s="22">
        <v>22.5</v>
      </c>
      <c r="E140" s="41">
        <v>41.9712</v>
      </c>
      <c r="F140" s="41">
        <v>0.93913980595102</v>
      </c>
      <c r="G140" s="24">
        <v>20</v>
      </c>
      <c r="H140" s="33">
        <v>69.1744379577931</v>
      </c>
      <c r="I140" s="27">
        <v>11.421907841404</v>
      </c>
      <c r="J140" s="35">
        <v>14.0846183915001</v>
      </c>
    </row>
    <row r="141" spans="1:10">
      <c r="A141" s="32">
        <v>50</v>
      </c>
      <c r="B141" s="22">
        <v>8</v>
      </c>
      <c r="C141" s="22">
        <v>37.6</v>
      </c>
      <c r="D141" s="22">
        <v>22.5</v>
      </c>
      <c r="E141" s="41">
        <v>44.1402</v>
      </c>
      <c r="F141" s="41">
        <v>0.920818198615511</v>
      </c>
      <c r="G141" s="24">
        <v>23.7</v>
      </c>
      <c r="H141" s="33">
        <v>90.114013416124</v>
      </c>
      <c r="I141" s="27">
        <v>11.0026313740972</v>
      </c>
      <c r="J141" s="35">
        <v>12.0642619357427</v>
      </c>
    </row>
    <row r="142" spans="1:10">
      <c r="A142" s="32">
        <v>55</v>
      </c>
      <c r="B142" s="22">
        <v>8</v>
      </c>
      <c r="C142" s="22">
        <v>41.2</v>
      </c>
      <c r="D142" s="22">
        <v>22.4</v>
      </c>
      <c r="E142" s="41">
        <v>47.3287</v>
      </c>
      <c r="F142" s="41">
        <v>0.89760467536325</v>
      </c>
      <c r="G142" s="24">
        <v>26.6</v>
      </c>
      <c r="H142" s="33">
        <v>113.922246761353</v>
      </c>
      <c r="I142" s="27">
        <v>10.1648673357458</v>
      </c>
      <c r="J142" s="35">
        <v>10.2538110906155</v>
      </c>
    </row>
    <row r="143" spans="1:10">
      <c r="A143" s="32">
        <v>60</v>
      </c>
      <c r="B143" s="22">
        <v>8</v>
      </c>
      <c r="C143" s="22">
        <v>46</v>
      </c>
      <c r="D143" s="22">
        <v>22.4</v>
      </c>
      <c r="E143" s="41">
        <v>50.7917</v>
      </c>
      <c r="F143" s="41">
        <v>0.868253123396246</v>
      </c>
      <c r="G143" s="24">
        <v>29.2</v>
      </c>
      <c r="H143" s="33">
        <v>137.141926610856</v>
      </c>
      <c r="I143" s="27">
        <v>9.32037290564244</v>
      </c>
      <c r="J143" s="35">
        <v>8.72944161267134</v>
      </c>
    </row>
    <row r="144" spans="1:10">
      <c r="A144" s="32">
        <v>65</v>
      </c>
      <c r="B144" s="22">
        <v>8</v>
      </c>
      <c r="C144" s="22">
        <v>51.6</v>
      </c>
      <c r="D144" s="22">
        <v>22.4</v>
      </c>
      <c r="E144" s="41">
        <v>55.0674</v>
      </c>
      <c r="F144" s="41">
        <v>0.831152647810126</v>
      </c>
      <c r="G144" s="24">
        <v>33.6</v>
      </c>
      <c r="H144" s="33">
        <v>161.309846402831</v>
      </c>
      <c r="I144" s="27">
        <v>9.39864738354628</v>
      </c>
      <c r="J144" s="35">
        <v>7.74848338521396</v>
      </c>
    </row>
    <row r="145" spans="1:10">
      <c r="A145" s="32">
        <v>70</v>
      </c>
      <c r="B145" s="22">
        <v>8</v>
      </c>
      <c r="C145" s="22">
        <v>57</v>
      </c>
      <c r="D145" s="22">
        <v>22.4</v>
      </c>
      <c r="E145" s="41">
        <v>59.549</v>
      </c>
      <c r="F145" s="41">
        <v>0.784179277129304</v>
      </c>
      <c r="G145" s="24">
        <v>38.6</v>
      </c>
      <c r="H145" s="33">
        <v>193.838029471461</v>
      </c>
      <c r="I145" s="27">
        <v>10.1964035972378</v>
      </c>
      <c r="J145" s="35">
        <v>7.27842499565102</v>
      </c>
    </row>
    <row r="146" spans="1:10">
      <c r="A146" s="32">
        <v>45</v>
      </c>
      <c r="B146" s="22">
        <v>4.5</v>
      </c>
      <c r="C146" s="22">
        <v>27.6</v>
      </c>
      <c r="D146" s="22">
        <v>22.1</v>
      </c>
      <c r="E146" s="41">
        <v>35.529</v>
      </c>
      <c r="F146" s="41">
        <v>0.93913980595102</v>
      </c>
      <c r="G146" s="24">
        <v>13.5</v>
      </c>
      <c r="H146" s="33">
        <v>64.6079760316695</v>
      </c>
      <c r="I146" s="27">
        <v>8.87881897828108</v>
      </c>
      <c r="J146" s="35">
        <v>31.6518619878327</v>
      </c>
    </row>
    <row r="147" spans="1:10">
      <c r="A147" s="32">
        <v>50</v>
      </c>
      <c r="B147" s="22">
        <v>4.5</v>
      </c>
      <c r="C147" s="22">
        <v>32</v>
      </c>
      <c r="D147" s="22">
        <v>22.1</v>
      </c>
      <c r="E147" s="41">
        <v>38.539</v>
      </c>
      <c r="F147" s="41">
        <v>0.920818198615511</v>
      </c>
      <c r="G147" s="24">
        <v>17.5</v>
      </c>
      <c r="H147" s="33">
        <v>76.9105046137101</v>
      </c>
      <c r="I147" s="27">
        <v>7.57892248391701</v>
      </c>
      <c r="J147" s="35">
        <v>28.115064925168</v>
      </c>
    </row>
    <row r="148" spans="1:10">
      <c r="A148" s="32">
        <v>55</v>
      </c>
      <c r="B148" s="22">
        <v>4.5</v>
      </c>
      <c r="C148" s="22">
        <v>36.9</v>
      </c>
      <c r="D148" s="22">
        <v>22.1</v>
      </c>
      <c r="E148" s="41">
        <v>43.5241</v>
      </c>
      <c r="F148" s="41">
        <v>0.89760467536325</v>
      </c>
      <c r="G148" s="24">
        <v>22.9</v>
      </c>
      <c r="H148" s="33">
        <v>90.7667109473221</v>
      </c>
      <c r="I148" s="27">
        <v>7.41341059590646</v>
      </c>
      <c r="J148" s="35">
        <v>25.0850402157053</v>
      </c>
    </row>
    <row r="149" spans="1:10">
      <c r="A149" s="32">
        <v>60</v>
      </c>
      <c r="B149" s="22">
        <v>4.5</v>
      </c>
      <c r="C149" s="22">
        <v>40</v>
      </c>
      <c r="D149" s="22">
        <v>22.1</v>
      </c>
      <c r="E149" s="41">
        <v>45.3695</v>
      </c>
      <c r="F149" s="41">
        <v>0.868253123396246</v>
      </c>
      <c r="G149" s="24">
        <v>26.9</v>
      </c>
      <c r="H149" s="33">
        <v>111.264409363747</v>
      </c>
      <c r="I149" s="27">
        <v>7.85148495695271</v>
      </c>
      <c r="J149" s="35">
        <v>21.6718861169602</v>
      </c>
    </row>
    <row r="150" spans="1:10">
      <c r="A150" s="32">
        <v>65</v>
      </c>
      <c r="B150" s="22">
        <v>4.5</v>
      </c>
      <c r="C150" s="22">
        <v>44.2</v>
      </c>
      <c r="D150" s="22">
        <v>22.1</v>
      </c>
      <c r="E150" s="41">
        <v>47.922</v>
      </c>
      <c r="F150" s="41">
        <v>0.831152647810126</v>
      </c>
      <c r="G150" s="24">
        <v>29.5</v>
      </c>
      <c r="H150" s="33">
        <v>132.975355986879</v>
      </c>
      <c r="I150" s="27">
        <v>7.64719723497</v>
      </c>
      <c r="J150" s="35">
        <v>18.5131749990209</v>
      </c>
    </row>
    <row r="151" spans="1:10">
      <c r="A151" s="32">
        <v>70</v>
      </c>
      <c r="B151" s="22">
        <v>4.5</v>
      </c>
      <c r="C151" s="22">
        <v>51.6</v>
      </c>
      <c r="D151" s="22">
        <v>22.1</v>
      </c>
      <c r="E151" s="41">
        <v>50.3109</v>
      </c>
      <c r="F151" s="41">
        <v>0.784179277129304</v>
      </c>
      <c r="G151" s="24">
        <v>31.1</v>
      </c>
      <c r="H151" s="33">
        <v>148.427670978151</v>
      </c>
      <c r="I151" s="27">
        <v>6.58003680416499</v>
      </c>
      <c r="J151" s="35">
        <v>15.7901549148289</v>
      </c>
    </row>
    <row r="152" spans="1:10">
      <c r="A152" s="32">
        <v>45</v>
      </c>
      <c r="B152" s="40">
        <v>5.6</v>
      </c>
      <c r="C152" s="33">
        <v>28.8</v>
      </c>
      <c r="D152" s="22">
        <v>22.1</v>
      </c>
      <c r="E152" s="41">
        <v>38.6848</v>
      </c>
      <c r="F152" s="41">
        <v>0.93913980595102</v>
      </c>
      <c r="G152" s="24">
        <v>17.7</v>
      </c>
      <c r="H152" s="33">
        <v>74.4996094013496</v>
      </c>
      <c r="I152" s="27">
        <v>12.5878960756747</v>
      </c>
      <c r="J152" s="35">
        <v>27.8884980971979</v>
      </c>
    </row>
    <row r="153" spans="1:10">
      <c r="A153" s="32">
        <v>50</v>
      </c>
      <c r="B153" s="40">
        <v>5.6</v>
      </c>
      <c r="C153" s="33">
        <v>32.8</v>
      </c>
      <c r="D153" s="22">
        <v>22.1</v>
      </c>
      <c r="E153" s="41">
        <v>42.0951</v>
      </c>
      <c r="F153" s="41">
        <v>0.920818198615511</v>
      </c>
      <c r="G153" s="24">
        <v>21.5</v>
      </c>
      <c r="H153" s="33">
        <v>89.4174775677747</v>
      </c>
      <c r="I153" s="27">
        <v>10.6873796907528</v>
      </c>
      <c r="J153" s="35">
        <v>24.1525499744012</v>
      </c>
    </row>
    <row r="154" spans="1:10">
      <c r="A154" s="32">
        <v>55</v>
      </c>
      <c r="B154" s="40">
        <v>5.6</v>
      </c>
      <c r="C154" s="33">
        <v>37.6</v>
      </c>
      <c r="D154" s="22">
        <v>22.1</v>
      </c>
      <c r="E154" s="41">
        <v>44.5059</v>
      </c>
      <c r="F154" s="41">
        <v>0.89760467536325</v>
      </c>
      <c r="G154" s="24">
        <v>24.4</v>
      </c>
      <c r="H154" s="33">
        <v>104.912228077396</v>
      </c>
      <c r="I154" s="27">
        <v>9.00407489546537</v>
      </c>
      <c r="J154" s="35">
        <v>20.5791664435466</v>
      </c>
    </row>
    <row r="155" spans="1:10">
      <c r="A155" s="32">
        <v>60</v>
      </c>
      <c r="B155" s="40">
        <v>5.6</v>
      </c>
      <c r="C155" s="33">
        <v>41.5</v>
      </c>
      <c r="D155" s="22">
        <v>22.1</v>
      </c>
      <c r="E155" s="41">
        <v>47.9528</v>
      </c>
      <c r="F155" s="41">
        <v>0.868253123396246</v>
      </c>
      <c r="G155" s="24">
        <v>28.5</v>
      </c>
      <c r="H155" s="33">
        <v>127.316452039458</v>
      </c>
      <c r="I155" s="27">
        <v>9.22488384110549</v>
      </c>
      <c r="J155" s="35">
        <v>17.8108438005402</v>
      </c>
    </row>
    <row r="156" spans="1:10">
      <c r="A156" s="32">
        <v>65</v>
      </c>
      <c r="B156" s="40">
        <v>5.6</v>
      </c>
      <c r="C156" s="33">
        <v>46.2</v>
      </c>
      <c r="D156" s="22">
        <v>22.1</v>
      </c>
      <c r="E156" s="41">
        <v>52.4072</v>
      </c>
      <c r="F156" s="41">
        <v>0.831152647810126</v>
      </c>
      <c r="G156" s="24">
        <v>32.2</v>
      </c>
      <c r="H156" s="33">
        <v>152.093584524212</v>
      </c>
      <c r="I156" s="27">
        <v>9.21605512690989</v>
      </c>
      <c r="J156" s="35">
        <v>15.5229573110996</v>
      </c>
    </row>
    <row r="157" spans="1:10">
      <c r="A157" s="32">
        <v>70</v>
      </c>
      <c r="B157" s="40">
        <v>5.6</v>
      </c>
      <c r="C157" s="33">
        <v>51.9</v>
      </c>
      <c r="D157" s="22">
        <v>22</v>
      </c>
      <c r="E157" s="41">
        <v>57.0743</v>
      </c>
      <c r="F157" s="41">
        <v>0.784179277129304</v>
      </c>
      <c r="G157" s="24">
        <v>36.2</v>
      </c>
      <c r="H157" s="33">
        <v>178.982109171785</v>
      </c>
      <c r="I157" s="27">
        <v>9.19393467955481</v>
      </c>
      <c r="J157" s="35">
        <v>13.9609751954205</v>
      </c>
    </row>
    <row r="158" spans="1:10">
      <c r="A158" s="32">
        <v>45</v>
      </c>
      <c r="B158" s="22">
        <v>6.8</v>
      </c>
      <c r="C158" s="22">
        <v>31.2</v>
      </c>
      <c r="D158" s="22">
        <v>22</v>
      </c>
      <c r="E158" s="41">
        <v>38.7012</v>
      </c>
      <c r="F158" s="41">
        <v>0.93913980595102</v>
      </c>
      <c r="G158" s="24">
        <v>18.1</v>
      </c>
      <c r="H158" s="33">
        <v>78.8391743057429</v>
      </c>
      <c r="I158" s="27">
        <v>11.5502741744917</v>
      </c>
      <c r="J158" s="35">
        <v>23.2617166996061</v>
      </c>
    </row>
    <row r="159" spans="1:10">
      <c r="A159" s="32">
        <v>50</v>
      </c>
      <c r="B159" s="22">
        <v>6.8</v>
      </c>
      <c r="C159" s="22">
        <v>37.5</v>
      </c>
      <c r="D159" s="22">
        <v>22</v>
      </c>
      <c r="E159" s="41">
        <v>41.7559</v>
      </c>
      <c r="F159" s="41">
        <v>0.920818198615511</v>
      </c>
      <c r="G159" s="24">
        <v>21.8</v>
      </c>
      <c r="H159" s="33">
        <v>87.6014760323692</v>
      </c>
      <c r="I159" s="27">
        <v>8.63101296633933</v>
      </c>
      <c r="J159" s="35">
        <v>20.1612624523167</v>
      </c>
    </row>
    <row r="160" spans="1:10">
      <c r="A160" s="32">
        <v>55</v>
      </c>
      <c r="B160" s="22">
        <v>6.8</v>
      </c>
      <c r="C160" s="22">
        <v>40.6</v>
      </c>
      <c r="D160" s="22">
        <v>22</v>
      </c>
      <c r="E160" s="41">
        <v>44.2099</v>
      </c>
      <c r="F160" s="41">
        <v>0.89760467536325</v>
      </c>
      <c r="G160" s="24">
        <v>26.2</v>
      </c>
      <c r="H160" s="33">
        <v>110.864160117314</v>
      </c>
      <c r="I160" s="27">
        <v>9.45388458679472</v>
      </c>
      <c r="J160" s="35">
        <v>17.4464215832177</v>
      </c>
    </row>
    <row r="161" spans="1:10">
      <c r="A161" s="32">
        <v>60</v>
      </c>
      <c r="B161" s="22">
        <v>6.8</v>
      </c>
      <c r="C161" s="22">
        <v>43.8</v>
      </c>
      <c r="D161" s="22">
        <v>22</v>
      </c>
      <c r="E161" s="41">
        <v>47.311</v>
      </c>
      <c r="F161" s="41">
        <v>0.868253123396246</v>
      </c>
      <c r="G161" s="24">
        <v>29.4</v>
      </c>
      <c r="H161" s="33">
        <v>139.060955387193</v>
      </c>
      <c r="I161" s="27">
        <v>9.79903311103801</v>
      </c>
      <c r="J161" s="35">
        <v>14.9177380717029</v>
      </c>
    </row>
    <row r="162" spans="1:10">
      <c r="A162" s="32">
        <v>65</v>
      </c>
      <c r="B162" s="22">
        <v>6.8</v>
      </c>
      <c r="C162" s="22">
        <v>47.9</v>
      </c>
      <c r="D162" s="22">
        <v>22</v>
      </c>
      <c r="E162" s="41">
        <v>51.1787</v>
      </c>
      <c r="F162" s="41">
        <v>0.831152647810126</v>
      </c>
      <c r="G162" s="24">
        <v>33.6</v>
      </c>
      <c r="H162" s="33">
        <v>170.607249120215</v>
      </c>
      <c r="I162" s="27">
        <v>10.4797651330462</v>
      </c>
      <c r="J162" s="35">
        <v>13.1396630829721</v>
      </c>
    </row>
    <row r="163" spans="1:10">
      <c r="A163" s="32">
        <v>70</v>
      </c>
      <c r="B163" s="22">
        <v>6.8</v>
      </c>
      <c r="C163" s="22">
        <v>52</v>
      </c>
      <c r="D163" s="22">
        <v>22</v>
      </c>
      <c r="E163" s="41">
        <v>55.502</v>
      </c>
      <c r="F163" s="41">
        <v>0.784179277129304</v>
      </c>
      <c r="G163" s="24">
        <v>37.5</v>
      </c>
      <c r="H163" s="33">
        <v>210.798437666487</v>
      </c>
      <c r="I163" s="27">
        <v>11.3487622395915</v>
      </c>
      <c r="J163" s="35">
        <v>11.8759057696679</v>
      </c>
    </row>
    <row r="164" spans="1:10">
      <c r="A164" s="32">
        <v>45</v>
      </c>
      <c r="B164" s="22">
        <v>8</v>
      </c>
      <c r="C164" s="22">
        <v>36</v>
      </c>
      <c r="D164" s="22">
        <v>22</v>
      </c>
      <c r="E164" s="41">
        <v>40.0768</v>
      </c>
      <c r="F164" s="41">
        <v>0.93913980595102</v>
      </c>
      <c r="G164" s="24">
        <v>20.1</v>
      </c>
      <c r="H164" s="33">
        <v>71.328449141763</v>
      </c>
      <c r="I164" s="27">
        <v>10.116729807514</v>
      </c>
      <c r="J164" s="35">
        <v>20.6057230493639</v>
      </c>
    </row>
    <row r="165" spans="1:10">
      <c r="A165" s="32">
        <v>50</v>
      </c>
      <c r="B165" s="22">
        <v>8</v>
      </c>
      <c r="C165" s="22">
        <v>39.5</v>
      </c>
      <c r="D165" s="22">
        <v>22</v>
      </c>
      <c r="E165" s="41">
        <v>42.1001</v>
      </c>
      <c r="F165" s="41">
        <v>0.920818198615511</v>
      </c>
      <c r="G165" s="24">
        <v>23.5</v>
      </c>
      <c r="H165" s="33">
        <v>90.0698474796279</v>
      </c>
      <c r="I165" s="27">
        <v>9.40969039047531</v>
      </c>
      <c r="J165" s="35">
        <v>17.5944274199543</v>
      </c>
    </row>
    <row r="166" spans="1:10">
      <c r="A166" s="32">
        <v>55</v>
      </c>
      <c r="B166" s="22">
        <v>8</v>
      </c>
      <c r="C166" s="22">
        <v>42</v>
      </c>
      <c r="D166" s="22">
        <v>22</v>
      </c>
      <c r="E166" s="41">
        <v>44.3883</v>
      </c>
      <c r="F166" s="41">
        <v>0.89760467536325</v>
      </c>
      <c r="G166" s="24">
        <v>27.2</v>
      </c>
      <c r="H166" s="33">
        <v>118.97903996927</v>
      </c>
      <c r="I166" s="27">
        <v>10.3719086253275</v>
      </c>
      <c r="J166" s="35">
        <v>15.0467938123088</v>
      </c>
    </row>
    <row r="167" spans="1:10">
      <c r="A167" s="32">
        <v>60</v>
      </c>
      <c r="B167" s="22">
        <v>8</v>
      </c>
      <c r="C167" s="22">
        <v>46.7</v>
      </c>
      <c r="D167" s="22">
        <v>22</v>
      </c>
      <c r="E167" s="41">
        <v>47.4365</v>
      </c>
      <c r="F167" s="41">
        <v>0.868253123396246</v>
      </c>
      <c r="G167" s="24">
        <v>30</v>
      </c>
      <c r="H167" s="33">
        <v>142.420153638606</v>
      </c>
      <c r="I167" s="27">
        <v>9.61431298195106</v>
      </c>
      <c r="J167" s="35">
        <v>12.8398706866207</v>
      </c>
    </row>
    <row r="168" spans="1:10">
      <c r="A168" s="32">
        <v>65</v>
      </c>
      <c r="B168" s="22">
        <v>8</v>
      </c>
      <c r="C168" s="22">
        <v>51.6</v>
      </c>
      <c r="D168" s="22">
        <v>22</v>
      </c>
      <c r="E168" s="41">
        <v>51.3437</v>
      </c>
      <c r="F168" s="41">
        <v>0.831152647810126</v>
      </c>
      <c r="G168" s="24">
        <v>33.9</v>
      </c>
      <c r="H168" s="33">
        <v>171.13824096153</v>
      </c>
      <c r="I168" s="27">
        <v>9.8467095747289</v>
      </c>
      <c r="J168" s="35">
        <v>11.2931359745423</v>
      </c>
    </row>
    <row r="169" spans="1:10">
      <c r="A169" s="32">
        <v>70</v>
      </c>
      <c r="B169" s="22">
        <v>8</v>
      </c>
      <c r="C169" s="22">
        <v>56.6</v>
      </c>
      <c r="D169" s="22">
        <v>22</v>
      </c>
      <c r="E169" s="41">
        <v>55.3097</v>
      </c>
      <c r="F169" s="41">
        <v>0.784179277129304</v>
      </c>
      <c r="G169" s="24">
        <v>38.2</v>
      </c>
      <c r="H169" s="33">
        <v>207.597464858838</v>
      </c>
      <c r="I169" s="27">
        <v>10.5596065775066</v>
      </c>
      <c r="J169" s="35">
        <v>10.3607890738825</v>
      </c>
    </row>
    <row r="170" spans="1:10">
      <c r="A170" s="32">
        <v>45</v>
      </c>
      <c r="B170" s="22">
        <v>4.5</v>
      </c>
      <c r="C170" s="22">
        <v>27</v>
      </c>
      <c r="D170" s="22">
        <v>21.7</v>
      </c>
      <c r="E170" s="41">
        <v>35.129</v>
      </c>
      <c r="F170" s="41">
        <v>0.93913980595102</v>
      </c>
      <c r="G170" s="24">
        <v>13.9</v>
      </c>
      <c r="H170" s="33">
        <v>71.2199146135847</v>
      </c>
      <c r="I170" s="27">
        <v>9.95346716668942</v>
      </c>
      <c r="J170" s="35">
        <v>39.5063351517444</v>
      </c>
    </row>
    <row r="171" spans="1:10">
      <c r="A171" s="32">
        <v>50</v>
      </c>
      <c r="B171" s="22">
        <v>4.5</v>
      </c>
      <c r="C171" s="22">
        <v>31.2</v>
      </c>
      <c r="D171" s="22">
        <v>21.7</v>
      </c>
      <c r="E171" s="41">
        <v>38.139</v>
      </c>
      <c r="F171" s="41">
        <v>0.920818198615511</v>
      </c>
      <c r="G171" s="24">
        <v>17.3</v>
      </c>
      <c r="H171" s="33">
        <v>84.1805944929144</v>
      </c>
      <c r="I171" s="27">
        <v>8.22744507479914</v>
      </c>
      <c r="J171" s="35">
        <v>34.6437502862847</v>
      </c>
    </row>
    <row r="172" spans="1:10">
      <c r="A172" s="32">
        <v>55</v>
      </c>
      <c r="B172" s="22">
        <v>4.5</v>
      </c>
      <c r="C172" s="22">
        <v>35.2</v>
      </c>
      <c r="D172" s="22">
        <v>21.7</v>
      </c>
      <c r="E172" s="41">
        <v>43.1241</v>
      </c>
      <c r="F172" s="41">
        <v>0.89760467536325</v>
      </c>
      <c r="G172" s="24">
        <v>22.1</v>
      </c>
      <c r="H172" s="33">
        <v>100.568600804509</v>
      </c>
      <c r="I172" s="27">
        <v>8.16686593278179</v>
      </c>
      <c r="J172" s="35">
        <v>30.6740807200374</v>
      </c>
    </row>
    <row r="173" spans="1:10">
      <c r="A173" s="32">
        <v>60</v>
      </c>
      <c r="B173" s="22">
        <v>4.5</v>
      </c>
      <c r="C173" s="22">
        <v>38.8</v>
      </c>
      <c r="D173" s="22">
        <v>21.7</v>
      </c>
      <c r="E173" s="41">
        <v>44.9695</v>
      </c>
      <c r="F173" s="41">
        <v>0.868253123396246</v>
      </c>
      <c r="G173" s="24">
        <v>25.1</v>
      </c>
      <c r="H173" s="33">
        <v>120.181713726022</v>
      </c>
      <c r="I173" s="27">
        <v>7.97703455948149</v>
      </c>
      <c r="J173" s="35">
        <v>26.2230935207834</v>
      </c>
    </row>
    <row r="174" spans="1:10">
      <c r="A174" s="32">
        <v>65</v>
      </c>
      <c r="B174" s="22">
        <v>4.5</v>
      </c>
      <c r="C174" s="22">
        <v>42.6</v>
      </c>
      <c r="D174" s="22">
        <v>21.7</v>
      </c>
      <c r="E174" s="41">
        <v>47.522</v>
      </c>
      <c r="F174" s="41">
        <v>0.831152647810126</v>
      </c>
      <c r="G174" s="24">
        <v>28.9</v>
      </c>
      <c r="H174" s="33">
        <v>144.067844099783</v>
      </c>
      <c r="I174" s="27">
        <v>8.2566600757929</v>
      </c>
      <c r="J174" s="35">
        <v>22.6964623066038</v>
      </c>
    </row>
    <row r="175" spans="1:10">
      <c r="A175" s="32">
        <v>70</v>
      </c>
      <c r="B175" s="22">
        <v>4.5</v>
      </c>
      <c r="C175" s="22">
        <v>47.6</v>
      </c>
      <c r="D175" s="22">
        <v>21.7</v>
      </c>
      <c r="E175" s="41">
        <v>49.9109</v>
      </c>
      <c r="F175" s="41">
        <v>0.784179277129304</v>
      </c>
      <c r="G175" s="24">
        <v>31.3</v>
      </c>
      <c r="H175" s="33">
        <v>169.273913382212</v>
      </c>
      <c r="I175" s="27">
        <v>8.00779013642997</v>
      </c>
      <c r="J175" s="35">
        <v>19.4791545758651</v>
      </c>
    </row>
    <row r="176" spans="1:10">
      <c r="A176" s="32">
        <v>45</v>
      </c>
      <c r="B176" s="40">
        <v>5.6</v>
      </c>
      <c r="C176" s="33">
        <v>28.3</v>
      </c>
      <c r="D176" s="22">
        <v>21.7</v>
      </c>
      <c r="E176" s="41">
        <v>38.2848</v>
      </c>
      <c r="F176" s="41">
        <v>0.93913980595102</v>
      </c>
      <c r="G176" s="24">
        <v>17.8</v>
      </c>
      <c r="H176" s="33">
        <v>81.5198960702168</v>
      </c>
      <c r="I176" s="27">
        <v>13.5116676010939</v>
      </c>
      <c r="J176" s="35">
        <v>34.5780094408036</v>
      </c>
    </row>
    <row r="177" spans="1:10">
      <c r="A177" s="32">
        <v>50</v>
      </c>
      <c r="B177" s="40">
        <v>5.6</v>
      </c>
      <c r="C177" s="33">
        <v>32.6</v>
      </c>
      <c r="D177" s="22">
        <v>21.7</v>
      </c>
      <c r="E177" s="41">
        <v>41.6951</v>
      </c>
      <c r="F177" s="41">
        <v>0.920818198615511</v>
      </c>
      <c r="G177" s="24">
        <v>23</v>
      </c>
      <c r="H177" s="33">
        <v>96.9038228920932</v>
      </c>
      <c r="I177" s="27">
        <v>12.4773356935652</v>
      </c>
      <c r="J177" s="35">
        <v>30.5616690519643</v>
      </c>
    </row>
    <row r="178" spans="1:10">
      <c r="A178" s="32">
        <v>55</v>
      </c>
      <c r="B178" s="40">
        <v>5.6</v>
      </c>
      <c r="C178" s="33">
        <v>38.4</v>
      </c>
      <c r="D178" s="22">
        <v>21.7</v>
      </c>
      <c r="E178" s="41">
        <v>44.1059</v>
      </c>
      <c r="F178" s="41">
        <v>0.89760467536325</v>
      </c>
      <c r="G178" s="24">
        <v>26.5</v>
      </c>
      <c r="H178" s="33">
        <v>109.998818766235</v>
      </c>
      <c r="I178" s="27">
        <v>9.98307176508529</v>
      </c>
      <c r="J178" s="35">
        <v>26.2194788529346</v>
      </c>
    </row>
    <row r="179" spans="1:10">
      <c r="A179" s="32">
        <v>60</v>
      </c>
      <c r="B179" s="40">
        <v>5.6</v>
      </c>
      <c r="C179" s="33">
        <v>41</v>
      </c>
      <c r="D179" s="22">
        <v>21.7</v>
      </c>
      <c r="E179" s="41">
        <v>47.5528</v>
      </c>
      <c r="F179" s="41">
        <v>0.868253123396246</v>
      </c>
      <c r="G179" s="24">
        <v>29.3</v>
      </c>
      <c r="H179" s="33">
        <v>136.207806429246</v>
      </c>
      <c r="I179" s="27">
        <v>10.0883768934616</v>
      </c>
      <c r="J179" s="35">
        <v>22.2747432137795</v>
      </c>
    </row>
    <row r="180" spans="1:10">
      <c r="A180" s="32">
        <v>65</v>
      </c>
      <c r="B180" s="40">
        <v>5.6</v>
      </c>
      <c r="C180" s="33">
        <v>45.2</v>
      </c>
      <c r="D180" s="22">
        <v>21.7</v>
      </c>
      <c r="E180" s="41">
        <v>52.0072</v>
      </c>
      <c r="F180" s="41">
        <v>0.831152647810126</v>
      </c>
      <c r="G180" s="24">
        <v>32.9</v>
      </c>
      <c r="H180" s="33">
        <v>163.497366293134</v>
      </c>
      <c r="I180" s="27">
        <v>10.1742116465115</v>
      </c>
      <c r="J180" s="35">
        <v>19.3813748314915</v>
      </c>
    </row>
    <row r="181" spans="1:10">
      <c r="A181" s="32">
        <v>70</v>
      </c>
      <c r="B181" s="40">
        <v>5.6</v>
      </c>
      <c r="C181" s="33">
        <v>48.6</v>
      </c>
      <c r="D181" s="22">
        <v>21.7</v>
      </c>
      <c r="E181" s="41">
        <v>56.7743</v>
      </c>
      <c r="F181" s="41">
        <v>0.784179277129304</v>
      </c>
      <c r="G181" s="24">
        <v>37.2</v>
      </c>
      <c r="H181" s="33">
        <v>201.994602371371</v>
      </c>
      <c r="I181" s="27">
        <v>11.3165708946336</v>
      </c>
      <c r="J181" s="35">
        <v>17.5194826045812</v>
      </c>
    </row>
    <row r="182" spans="1:10">
      <c r="A182" s="32">
        <v>45</v>
      </c>
      <c r="B182" s="22">
        <v>6.8</v>
      </c>
      <c r="C182" s="22">
        <v>30.3</v>
      </c>
      <c r="D182" s="22">
        <v>21.7</v>
      </c>
      <c r="E182" s="41">
        <v>38.4012</v>
      </c>
      <c r="F182" s="41">
        <v>0.93913980595102</v>
      </c>
      <c r="G182" s="24">
        <v>18.5</v>
      </c>
      <c r="H182" s="33">
        <v>87.4982871011134</v>
      </c>
      <c r="I182" s="27">
        <v>13.4274476571365</v>
      </c>
      <c r="J182" s="35">
        <v>28.9319182336839</v>
      </c>
    </row>
    <row r="183" spans="1:10">
      <c r="A183" s="32">
        <v>50</v>
      </c>
      <c r="B183" s="22">
        <v>6.8</v>
      </c>
      <c r="C183" s="22">
        <v>34.6</v>
      </c>
      <c r="D183" s="22">
        <v>21.7</v>
      </c>
      <c r="E183" s="41">
        <v>41.4559</v>
      </c>
      <c r="F183" s="41">
        <v>0.920818198615511</v>
      </c>
      <c r="G183" s="24">
        <v>22.5</v>
      </c>
      <c r="H183" s="33">
        <v>104.130052791349</v>
      </c>
      <c r="I183" s="27">
        <v>11.7237150954607</v>
      </c>
      <c r="J183" s="35">
        <v>25.0771213440702</v>
      </c>
    </row>
    <row r="184" spans="1:10">
      <c r="A184" s="32">
        <v>55</v>
      </c>
      <c r="B184" s="22">
        <v>6.8</v>
      </c>
      <c r="C184" s="22">
        <v>39.6</v>
      </c>
      <c r="D184" s="22">
        <v>21.7</v>
      </c>
      <c r="E184" s="41">
        <v>43.9099</v>
      </c>
      <c r="F184" s="41">
        <v>0.89760467536325</v>
      </c>
      <c r="G184" s="24">
        <v>27.1</v>
      </c>
      <c r="H184" s="33">
        <v>121.850114132375</v>
      </c>
      <c r="I184" s="27">
        <v>11.0420304814499</v>
      </c>
      <c r="J184" s="35">
        <v>21.7924945936237</v>
      </c>
    </row>
    <row r="185" spans="1:10">
      <c r="A185" s="32">
        <v>60</v>
      </c>
      <c r="B185" s="22">
        <v>6.8</v>
      </c>
      <c r="C185" s="22">
        <v>42.8</v>
      </c>
      <c r="D185" s="22">
        <v>21.7</v>
      </c>
      <c r="E185" s="41">
        <v>47.011</v>
      </c>
      <c r="F185" s="41">
        <v>0.868253123396246</v>
      </c>
      <c r="G185" s="24">
        <v>29.9</v>
      </c>
      <c r="H185" s="33">
        <v>150.569592607903</v>
      </c>
      <c r="I185" s="27">
        <v>10.9197494906057</v>
      </c>
      <c r="J185" s="35">
        <v>18.5397950853292</v>
      </c>
    </row>
    <row r="186" spans="1:10">
      <c r="A186" s="32">
        <v>65</v>
      </c>
      <c r="B186" s="22">
        <v>6.8</v>
      </c>
      <c r="C186" s="22">
        <v>46.5</v>
      </c>
      <c r="D186" s="22">
        <v>21.7</v>
      </c>
      <c r="E186" s="41">
        <v>50.8787</v>
      </c>
      <c r="F186" s="41">
        <v>0.831152647810126</v>
      </c>
      <c r="G186" s="24">
        <v>33.3</v>
      </c>
      <c r="H186" s="33">
        <v>184.613608717611</v>
      </c>
      <c r="I186" s="27">
        <v>11.3295196245214</v>
      </c>
      <c r="J186" s="35">
        <v>16.0994711512235</v>
      </c>
    </row>
    <row r="187" spans="1:10">
      <c r="A187" s="32">
        <v>70</v>
      </c>
      <c r="B187" s="22">
        <v>6.8</v>
      </c>
      <c r="C187" s="22">
        <v>49.3</v>
      </c>
      <c r="D187" s="22">
        <v>21.5</v>
      </c>
      <c r="E187" s="41">
        <v>55.002</v>
      </c>
      <c r="F187" s="41">
        <v>0.784179277129304</v>
      </c>
      <c r="G187" s="24">
        <v>37.8</v>
      </c>
      <c r="H187" s="33">
        <v>233.534217626929</v>
      </c>
      <c r="I187" s="27">
        <v>13.0395712237376</v>
      </c>
      <c r="J187" s="35">
        <v>14.6613149216036</v>
      </c>
    </row>
    <row r="188" spans="1:10">
      <c r="A188" s="32">
        <v>45</v>
      </c>
      <c r="B188" s="22">
        <v>8</v>
      </c>
      <c r="C188" s="22">
        <v>33.3</v>
      </c>
      <c r="D188" s="22">
        <v>21.5</v>
      </c>
      <c r="E188" s="41">
        <v>39.5768</v>
      </c>
      <c r="F188" s="41">
        <v>0.93913980595102</v>
      </c>
      <c r="G188" s="24">
        <v>20</v>
      </c>
      <c r="H188" s="33">
        <v>87.9970510144819</v>
      </c>
      <c r="I188" s="27">
        <v>12.8850642809622</v>
      </c>
      <c r="J188" s="35">
        <v>25.4251925240211</v>
      </c>
    </row>
    <row r="189" spans="1:10">
      <c r="A189" s="32">
        <v>50</v>
      </c>
      <c r="B189" s="22">
        <v>8</v>
      </c>
      <c r="C189" s="22">
        <v>36</v>
      </c>
      <c r="D189" s="22">
        <v>21.5</v>
      </c>
      <c r="E189" s="41">
        <v>41.6001</v>
      </c>
      <c r="F189" s="41">
        <v>0.920818198615511</v>
      </c>
      <c r="G189" s="24">
        <v>24.1</v>
      </c>
      <c r="H189" s="33">
        <v>112.042827789435</v>
      </c>
      <c r="I189" s="27">
        <v>13.2293083346762</v>
      </c>
      <c r="J189" s="35">
        <v>21.8999061891885</v>
      </c>
    </row>
    <row r="190" spans="1:10">
      <c r="A190" s="32">
        <v>55</v>
      </c>
      <c r="B190" s="22">
        <v>8</v>
      </c>
      <c r="C190" s="22">
        <v>40.1</v>
      </c>
      <c r="D190" s="22">
        <v>21.5</v>
      </c>
      <c r="E190" s="41">
        <v>43.8883</v>
      </c>
      <c r="F190" s="41">
        <v>0.89760467536325</v>
      </c>
      <c r="G190" s="24">
        <v>28</v>
      </c>
      <c r="H190" s="33">
        <v>135.376344367265</v>
      </c>
      <c r="I190" s="27">
        <v>12.5911728242968</v>
      </c>
      <c r="J190" s="35">
        <v>18.8077667156244</v>
      </c>
    </row>
    <row r="191" spans="1:10">
      <c r="A191" s="32">
        <v>60</v>
      </c>
      <c r="B191" s="22">
        <v>8</v>
      </c>
      <c r="C191" s="22">
        <v>43.9</v>
      </c>
      <c r="D191" s="22">
        <v>21.5</v>
      </c>
      <c r="E191" s="41">
        <v>46.9365</v>
      </c>
      <c r="F191" s="41">
        <v>0.868253123396246</v>
      </c>
      <c r="G191" s="24">
        <v>30.8</v>
      </c>
      <c r="H191" s="33">
        <v>165.620922012326</v>
      </c>
      <c r="I191" s="27">
        <v>12.0310714083706</v>
      </c>
      <c r="J191" s="35">
        <v>16.0253745478932</v>
      </c>
    </row>
    <row r="192" spans="1:10">
      <c r="A192" s="32">
        <v>65</v>
      </c>
      <c r="B192" s="22">
        <v>8</v>
      </c>
      <c r="C192" s="22">
        <v>48.2</v>
      </c>
      <c r="D192" s="22">
        <v>21.5</v>
      </c>
      <c r="E192" s="41">
        <v>50.8437</v>
      </c>
      <c r="F192" s="41">
        <v>0.831152647810126</v>
      </c>
      <c r="G192" s="24">
        <v>34.3</v>
      </c>
      <c r="H192" s="33">
        <v>201.250259908709</v>
      </c>
      <c r="I192" s="27">
        <v>12.2528067596734</v>
      </c>
      <c r="J192" s="35">
        <v>13.9879545681759</v>
      </c>
    </row>
    <row r="193" spans="1:10">
      <c r="A193" s="32">
        <v>70</v>
      </c>
      <c r="B193" s="22">
        <v>8</v>
      </c>
      <c r="C193" s="22">
        <v>53.3</v>
      </c>
      <c r="D193" s="22">
        <v>21.5</v>
      </c>
      <c r="E193" s="41">
        <v>54.8097</v>
      </c>
      <c r="F193" s="41">
        <v>0.784179277129304</v>
      </c>
      <c r="G193" s="24">
        <v>38.2</v>
      </c>
      <c r="H193" s="33">
        <v>241.472883668465</v>
      </c>
      <c r="I193" s="27">
        <v>12.6612925319143</v>
      </c>
      <c r="J193" s="35">
        <v>12.6687231064751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5"/>
  <sheetViews>
    <sheetView zoomScale="115" zoomScaleNormal="115" topLeftCell="A70" workbookViewId="0">
      <selection activeCell="A2" sqref="A2:L265"/>
    </sheetView>
  </sheetViews>
  <sheetFormatPr defaultColWidth="9" defaultRowHeight="15"/>
  <cols>
    <col min="4" max="4" width="9.3716814159292"/>
    <col min="7" max="7" width="12.6283185840708"/>
    <col min="9" max="11" width="12.6283185840708"/>
  </cols>
  <sheetData>
    <row r="1" spans="1:12">
      <c r="A1" t="s">
        <v>19</v>
      </c>
      <c r="B1" t="s">
        <v>12</v>
      </c>
      <c r="C1" t="s">
        <v>13</v>
      </c>
      <c r="D1" t="s">
        <v>14</v>
      </c>
      <c r="E1" t="s">
        <v>15</v>
      </c>
      <c r="G1" t="s">
        <v>6</v>
      </c>
      <c r="H1" t="s">
        <v>8</v>
      </c>
      <c r="I1" t="s">
        <v>16</v>
      </c>
      <c r="J1" t="s">
        <v>20</v>
      </c>
      <c r="K1" t="s">
        <v>18</v>
      </c>
      <c r="L1" t="s">
        <v>21</v>
      </c>
    </row>
    <row r="2" spans="1:12">
      <c r="A2">
        <v>1</v>
      </c>
      <c r="B2">
        <v>45</v>
      </c>
      <c r="C2">
        <v>4.5</v>
      </c>
      <c r="D2">
        <v>21.2</v>
      </c>
      <c r="E2">
        <v>20.9</v>
      </c>
      <c r="F2">
        <v>0.0132</v>
      </c>
      <c r="G2">
        <v>0.93913980595102</v>
      </c>
      <c r="H2">
        <v>10.5</v>
      </c>
      <c r="I2">
        <v>93.4252159541819</v>
      </c>
      <c r="J2">
        <v>26.7915603977083</v>
      </c>
      <c r="K2">
        <v>58.3264305877983</v>
      </c>
      <c r="L2">
        <v>1</v>
      </c>
    </row>
    <row r="3" spans="1:12">
      <c r="A3">
        <v>1</v>
      </c>
      <c r="B3">
        <v>47.5</v>
      </c>
      <c r="C3">
        <v>4.5</v>
      </c>
      <c r="D3">
        <v>21.2</v>
      </c>
      <c r="E3">
        <v>20.9</v>
      </c>
      <c r="F3">
        <v>0.0132</v>
      </c>
      <c r="G3">
        <v>0.930523923822277</v>
      </c>
      <c r="H3">
        <v>12.3</v>
      </c>
      <c r="I3">
        <v>109.148352945571</v>
      </c>
      <c r="J3">
        <v>30.1267568202681</v>
      </c>
      <c r="K3">
        <v>61.4135232011015</v>
      </c>
      <c r="L3">
        <v>1</v>
      </c>
    </row>
    <row r="4" spans="1:12">
      <c r="A4">
        <v>1</v>
      </c>
      <c r="B4">
        <v>50</v>
      </c>
      <c r="C4">
        <v>4.5</v>
      </c>
      <c r="D4">
        <v>21.3</v>
      </c>
      <c r="E4">
        <v>20.9</v>
      </c>
      <c r="F4">
        <v>0.0132</v>
      </c>
      <c r="G4">
        <v>0.920818198615511</v>
      </c>
      <c r="H4">
        <v>15.1</v>
      </c>
      <c r="I4">
        <v>129.573855735869</v>
      </c>
      <c r="J4">
        <v>33.8735409419288</v>
      </c>
      <c r="K4">
        <v>67.8731527680323</v>
      </c>
      <c r="L4">
        <v>1</v>
      </c>
    </row>
    <row r="5" spans="1:12">
      <c r="A5">
        <v>1</v>
      </c>
      <c r="B5">
        <v>52.5</v>
      </c>
      <c r="C5">
        <v>4.5</v>
      </c>
      <c r="D5">
        <v>21.3</v>
      </c>
      <c r="E5">
        <v>20.9</v>
      </c>
      <c r="F5">
        <v>0.0132</v>
      </c>
      <c r="G5">
        <v>0.909893599259399</v>
      </c>
      <c r="H5">
        <v>18</v>
      </c>
      <c r="I5">
        <v>151.420606082112</v>
      </c>
      <c r="J5">
        <v>40.4517915076827</v>
      </c>
      <c r="K5">
        <v>72.9222099708773</v>
      </c>
      <c r="L5">
        <v>1</v>
      </c>
    </row>
    <row r="6" spans="1:12">
      <c r="A6">
        <v>1</v>
      </c>
      <c r="B6">
        <v>55</v>
      </c>
      <c r="C6">
        <v>4.5</v>
      </c>
      <c r="D6">
        <v>21.3</v>
      </c>
      <c r="E6">
        <v>20.9</v>
      </c>
      <c r="F6">
        <v>0.0132</v>
      </c>
      <c r="G6">
        <v>0.89760467536325</v>
      </c>
      <c r="H6">
        <v>21.2</v>
      </c>
      <c r="I6">
        <v>175.43811938396</v>
      </c>
      <c r="J6">
        <v>48.7509978522071</v>
      </c>
      <c r="K6">
        <v>77.5065437055854</v>
      </c>
      <c r="L6">
        <v>1</v>
      </c>
    </row>
    <row r="7" spans="1:12">
      <c r="A7">
        <v>1</v>
      </c>
      <c r="B7">
        <v>57.5</v>
      </c>
      <c r="C7">
        <v>4.5</v>
      </c>
      <c r="D7">
        <v>21.3</v>
      </c>
      <c r="E7">
        <v>20.9</v>
      </c>
      <c r="F7">
        <v>0.0132</v>
      </c>
      <c r="G7">
        <v>0.883786850160418</v>
      </c>
      <c r="H7">
        <v>24.5</v>
      </c>
      <c r="I7">
        <v>200.904856995525</v>
      </c>
      <c r="J7">
        <v>58.545670373428</v>
      </c>
      <c r="K7">
        <v>80.930788365195</v>
      </c>
      <c r="L7">
        <v>1</v>
      </c>
    </row>
    <row r="8" spans="1:12">
      <c r="A8">
        <v>1</v>
      </c>
      <c r="B8">
        <v>60</v>
      </c>
      <c r="C8">
        <v>4.5</v>
      </c>
      <c r="D8">
        <v>21.4</v>
      </c>
      <c r="E8">
        <v>20.9</v>
      </c>
      <c r="F8">
        <v>0.0132</v>
      </c>
      <c r="G8">
        <v>0.868253123396246</v>
      </c>
      <c r="H8">
        <v>28.1</v>
      </c>
      <c r="I8">
        <v>228.584141295631</v>
      </c>
      <c r="J8">
        <v>67.2917414199288</v>
      </c>
      <c r="K8">
        <v>83.981679484378</v>
      </c>
      <c r="L8">
        <v>1</v>
      </c>
    </row>
    <row r="9" spans="1:12">
      <c r="A9">
        <v>1</v>
      </c>
      <c r="B9">
        <v>62.5</v>
      </c>
      <c r="C9">
        <v>4.5</v>
      </c>
      <c r="D9">
        <v>21.3</v>
      </c>
      <c r="E9">
        <v>20.9</v>
      </c>
      <c r="F9">
        <v>0.0132</v>
      </c>
      <c r="G9">
        <v>0.850790029374404</v>
      </c>
      <c r="H9">
        <v>30.6</v>
      </c>
      <c r="I9">
        <v>253.322725113024</v>
      </c>
      <c r="J9">
        <v>79.2036443618008</v>
      </c>
      <c r="K9">
        <v>82.8129376421185</v>
      </c>
      <c r="L9">
        <v>1</v>
      </c>
    </row>
    <row r="10" spans="1:12">
      <c r="A10">
        <v>1</v>
      </c>
      <c r="B10">
        <v>65</v>
      </c>
      <c r="C10">
        <v>4.5</v>
      </c>
      <c r="D10">
        <v>21.3</v>
      </c>
      <c r="E10">
        <v>20.9</v>
      </c>
      <c r="F10">
        <v>0.0132</v>
      </c>
      <c r="G10">
        <v>0.831152647810126</v>
      </c>
      <c r="H10">
        <v>33.6</v>
      </c>
      <c r="I10">
        <v>281.260207845151</v>
      </c>
      <c r="J10">
        <v>90.9964767569558</v>
      </c>
      <c r="K10">
        <v>82.4485752443105</v>
      </c>
      <c r="L10">
        <v>1</v>
      </c>
    </row>
    <row r="11" spans="1:12">
      <c r="A11">
        <v>1</v>
      </c>
      <c r="B11">
        <v>67.5</v>
      </c>
      <c r="C11">
        <v>4.5</v>
      </c>
      <c r="D11">
        <v>21.3</v>
      </c>
      <c r="E11">
        <v>20.9</v>
      </c>
      <c r="F11">
        <v>0.0132</v>
      </c>
      <c r="G11">
        <v>0.809058400419842</v>
      </c>
      <c r="H11">
        <v>37.1</v>
      </c>
      <c r="I11">
        <v>312.619807376079</v>
      </c>
      <c r="J11">
        <v>108.818575882054</v>
      </c>
      <c r="K11">
        <v>82.6379476486049</v>
      </c>
      <c r="L11">
        <v>1</v>
      </c>
    </row>
    <row r="12" spans="1:12">
      <c r="A12">
        <v>1</v>
      </c>
      <c r="B12">
        <v>70</v>
      </c>
      <c r="C12">
        <v>4.5</v>
      </c>
      <c r="D12">
        <v>21.4</v>
      </c>
      <c r="E12">
        <v>20.9</v>
      </c>
      <c r="F12">
        <v>0.0132</v>
      </c>
      <c r="G12">
        <v>0.784179277129304</v>
      </c>
      <c r="H12">
        <v>39.7</v>
      </c>
      <c r="I12">
        <v>341.773134865269</v>
      </c>
      <c r="J12">
        <v>112.664433668519</v>
      </c>
      <c r="K12">
        <v>80.3743177107316</v>
      </c>
      <c r="L12">
        <v>1</v>
      </c>
    </row>
    <row r="13" spans="1:12">
      <c r="A13">
        <v>1</v>
      </c>
      <c r="B13">
        <v>45</v>
      </c>
      <c r="C13">
        <v>6</v>
      </c>
      <c r="D13">
        <v>21.7</v>
      </c>
      <c r="E13">
        <v>20.9</v>
      </c>
      <c r="F13">
        <v>0.0138</v>
      </c>
      <c r="G13">
        <v>0.93913980595102</v>
      </c>
      <c r="H13">
        <v>13.1</v>
      </c>
      <c r="I13">
        <v>122.475987802807</v>
      </c>
      <c r="J13">
        <v>31.4719920639898</v>
      </c>
      <c r="K13">
        <v>57.104207758783</v>
      </c>
      <c r="L13">
        <v>1</v>
      </c>
    </row>
    <row r="14" spans="1:12">
      <c r="A14">
        <v>1</v>
      </c>
      <c r="B14">
        <v>47.5</v>
      </c>
      <c r="C14">
        <v>6</v>
      </c>
      <c r="D14">
        <v>21.7</v>
      </c>
      <c r="E14">
        <v>20.9</v>
      </c>
      <c r="F14">
        <v>0.0138</v>
      </c>
      <c r="G14">
        <v>0.930523923822277</v>
      </c>
      <c r="H14">
        <v>15.1</v>
      </c>
      <c r="I14">
        <v>142.206379680888</v>
      </c>
      <c r="J14">
        <v>35.4252118136201</v>
      </c>
      <c r="K14">
        <v>59.1636724386701</v>
      </c>
      <c r="L14">
        <v>1</v>
      </c>
    </row>
    <row r="15" spans="1:12">
      <c r="A15">
        <v>1</v>
      </c>
      <c r="B15">
        <v>50</v>
      </c>
      <c r="C15">
        <v>6</v>
      </c>
      <c r="D15">
        <v>21.7</v>
      </c>
      <c r="E15">
        <v>20.9</v>
      </c>
      <c r="F15">
        <v>0.0138</v>
      </c>
      <c r="G15">
        <v>0.920818198615511</v>
      </c>
      <c r="H15">
        <v>18</v>
      </c>
      <c r="I15">
        <v>166.803534195881</v>
      </c>
      <c r="J15">
        <v>42.5930178325445</v>
      </c>
      <c r="K15">
        <v>63.4806141595022</v>
      </c>
      <c r="L15">
        <v>1</v>
      </c>
    </row>
    <row r="16" spans="1:12">
      <c r="A16">
        <v>1</v>
      </c>
      <c r="B16">
        <v>52.5</v>
      </c>
      <c r="C16">
        <v>6</v>
      </c>
      <c r="D16">
        <v>21.8</v>
      </c>
      <c r="E16">
        <v>20.9</v>
      </c>
      <c r="F16">
        <v>0.0138</v>
      </c>
      <c r="G16">
        <v>0.909893599259399</v>
      </c>
      <c r="H16">
        <v>20.2</v>
      </c>
      <c r="I16">
        <v>189.482884993347</v>
      </c>
      <c r="J16">
        <v>45.8182946676998</v>
      </c>
      <c r="K16">
        <v>64.2177464574108</v>
      </c>
      <c r="L16">
        <v>1</v>
      </c>
    </row>
    <row r="17" spans="1:12">
      <c r="A17">
        <v>1</v>
      </c>
      <c r="B17">
        <v>55</v>
      </c>
      <c r="C17">
        <v>6</v>
      </c>
      <c r="D17">
        <v>21.8</v>
      </c>
      <c r="E17">
        <v>20.9</v>
      </c>
      <c r="F17">
        <v>0.0138</v>
      </c>
      <c r="G17">
        <v>0.89760467536325</v>
      </c>
      <c r="H17">
        <v>23.3</v>
      </c>
      <c r="I17">
        <v>217.399636837176</v>
      </c>
      <c r="J17">
        <v>54.567454872545</v>
      </c>
      <c r="K17">
        <v>66.8456885744614</v>
      </c>
      <c r="L17">
        <v>1</v>
      </c>
    </row>
    <row r="18" spans="1:12">
      <c r="A18">
        <v>1</v>
      </c>
      <c r="B18">
        <v>57.5</v>
      </c>
      <c r="C18">
        <v>6</v>
      </c>
      <c r="D18">
        <v>21.8</v>
      </c>
      <c r="E18">
        <v>20.9</v>
      </c>
      <c r="F18">
        <v>0.0138</v>
      </c>
      <c r="G18">
        <v>0.883786850160418</v>
      </c>
      <c r="H18">
        <v>25.9</v>
      </c>
      <c r="I18">
        <v>244.618117762866</v>
      </c>
      <c r="J18">
        <v>61.7936381330431</v>
      </c>
      <c r="K18">
        <v>67.1368604393283</v>
      </c>
      <c r="L18">
        <v>1</v>
      </c>
    </row>
    <row r="19" spans="1:12">
      <c r="A19">
        <v>1</v>
      </c>
      <c r="B19">
        <v>60</v>
      </c>
      <c r="C19">
        <v>6</v>
      </c>
      <c r="D19">
        <v>21.9</v>
      </c>
      <c r="E19">
        <v>20.9</v>
      </c>
      <c r="F19">
        <v>0.0138</v>
      </c>
      <c r="G19">
        <v>0.868253123396246</v>
      </c>
      <c r="H19">
        <v>31.2</v>
      </c>
      <c r="I19">
        <v>284.500687010627</v>
      </c>
      <c r="J19">
        <v>85.2208514531509</v>
      </c>
      <c r="K19">
        <v>73.1720074778279</v>
      </c>
      <c r="L19">
        <v>1</v>
      </c>
    </row>
    <row r="20" spans="1:12">
      <c r="A20">
        <v>1</v>
      </c>
      <c r="B20">
        <v>62.5</v>
      </c>
      <c r="C20">
        <v>6</v>
      </c>
      <c r="D20">
        <v>21.9</v>
      </c>
      <c r="E20">
        <v>20.9</v>
      </c>
      <c r="F20">
        <v>0.0138</v>
      </c>
      <c r="G20">
        <v>0.850790029374404</v>
      </c>
      <c r="H20">
        <v>36.7</v>
      </c>
      <c r="I20">
        <v>327.022752170802</v>
      </c>
      <c r="J20">
        <v>133.260530929219</v>
      </c>
      <c r="K20">
        <v>77.9511454689336</v>
      </c>
      <c r="L20">
        <v>1</v>
      </c>
    </row>
    <row r="21" spans="1:12">
      <c r="A21">
        <v>1</v>
      </c>
      <c r="B21">
        <v>65</v>
      </c>
      <c r="C21">
        <v>6</v>
      </c>
      <c r="D21">
        <v>22</v>
      </c>
      <c r="E21">
        <v>20.9</v>
      </c>
      <c r="F21">
        <v>0.0138</v>
      </c>
      <c r="G21">
        <v>0.831152647810126</v>
      </c>
      <c r="H21">
        <v>39.1</v>
      </c>
      <c r="I21">
        <v>358.140387919349</v>
      </c>
      <c r="J21">
        <v>139.043665006018</v>
      </c>
      <c r="K21">
        <v>75.3125308055874</v>
      </c>
      <c r="L21">
        <v>1</v>
      </c>
    </row>
    <row r="22" spans="1:12">
      <c r="A22">
        <v>1</v>
      </c>
      <c r="B22">
        <v>67.5</v>
      </c>
      <c r="C22">
        <v>6</v>
      </c>
      <c r="D22">
        <v>22.1</v>
      </c>
      <c r="E22">
        <v>20.9</v>
      </c>
      <c r="F22">
        <v>0.0138</v>
      </c>
      <c r="G22">
        <v>0.809058400419842</v>
      </c>
      <c r="H22">
        <v>40.8</v>
      </c>
      <c r="I22">
        <v>388.216956869976</v>
      </c>
      <c r="J22">
        <v>132.967376393832</v>
      </c>
      <c r="K22">
        <v>71.3475032105165</v>
      </c>
      <c r="L22">
        <v>1</v>
      </c>
    </row>
    <row r="23" spans="1:12">
      <c r="A23">
        <v>1</v>
      </c>
      <c r="B23">
        <v>70</v>
      </c>
      <c r="C23">
        <v>6</v>
      </c>
      <c r="D23">
        <v>22.2</v>
      </c>
      <c r="E23">
        <v>20.9</v>
      </c>
      <c r="F23">
        <v>0.0138</v>
      </c>
      <c r="G23">
        <v>0.784179277129304</v>
      </c>
      <c r="H23">
        <v>43.6</v>
      </c>
      <c r="I23">
        <v>424.939014252316</v>
      </c>
      <c r="J23">
        <v>145.934562368206</v>
      </c>
      <c r="K23">
        <v>69.298535813384</v>
      </c>
      <c r="L23">
        <v>1</v>
      </c>
    </row>
    <row r="24" spans="1:12">
      <c r="A24">
        <v>1</v>
      </c>
      <c r="B24">
        <v>45</v>
      </c>
      <c r="C24">
        <v>6.7</v>
      </c>
      <c r="D24">
        <v>23.1</v>
      </c>
      <c r="E24">
        <v>23</v>
      </c>
      <c r="F24">
        <v>0.0132</v>
      </c>
      <c r="G24">
        <v>0.93913980595102</v>
      </c>
      <c r="H24">
        <v>14.2</v>
      </c>
      <c r="I24">
        <v>129.567202819187</v>
      </c>
      <c r="J24">
        <v>73.3099449573805</v>
      </c>
      <c r="K24">
        <v>53.1431074460585</v>
      </c>
      <c r="L24">
        <v>1</v>
      </c>
    </row>
    <row r="25" spans="1:12">
      <c r="A25">
        <v>1</v>
      </c>
      <c r="B25">
        <v>47.5</v>
      </c>
      <c r="C25">
        <v>6.7</v>
      </c>
      <c r="D25">
        <v>23.1</v>
      </c>
      <c r="E25">
        <v>23</v>
      </c>
      <c r="F25">
        <v>0.0132</v>
      </c>
      <c r="G25">
        <v>0.930523923822277</v>
      </c>
      <c r="H25">
        <v>16.1</v>
      </c>
      <c r="I25">
        <v>149.875434403748</v>
      </c>
      <c r="J25">
        <v>80.008505119285</v>
      </c>
      <c r="K25">
        <v>54.157900627456</v>
      </c>
      <c r="L25">
        <v>1</v>
      </c>
    </row>
    <row r="26" spans="1:12">
      <c r="A26">
        <v>1</v>
      </c>
      <c r="B26">
        <v>50</v>
      </c>
      <c r="C26">
        <v>6.7</v>
      </c>
      <c r="D26">
        <v>23.1</v>
      </c>
      <c r="E26">
        <v>23</v>
      </c>
      <c r="F26">
        <v>0.0132</v>
      </c>
      <c r="G26">
        <v>0.920818198615511</v>
      </c>
      <c r="H26">
        <v>18.7</v>
      </c>
      <c r="I26">
        <v>174.213164610511</v>
      </c>
      <c r="J26">
        <v>93.8805129504486</v>
      </c>
      <c r="K26">
        <v>56.6192359524464</v>
      </c>
      <c r="L26">
        <v>1</v>
      </c>
    </row>
    <row r="27" spans="1:12">
      <c r="A27">
        <v>1</v>
      </c>
      <c r="B27">
        <v>52.5</v>
      </c>
      <c r="C27">
        <v>6.7</v>
      </c>
      <c r="D27">
        <v>23.1</v>
      </c>
      <c r="E27">
        <v>23</v>
      </c>
      <c r="F27">
        <v>0.0132</v>
      </c>
      <c r="G27">
        <v>0.909893599259399</v>
      </c>
      <c r="H27">
        <v>21.4</v>
      </c>
      <c r="I27">
        <v>200.281169910829</v>
      </c>
      <c r="J27">
        <v>110.015677226431</v>
      </c>
      <c r="K27">
        <v>58.3979129688085</v>
      </c>
      <c r="L27">
        <v>1</v>
      </c>
    </row>
    <row r="28" spans="1:12">
      <c r="A28">
        <v>1</v>
      </c>
      <c r="B28">
        <v>55</v>
      </c>
      <c r="C28">
        <v>6.7</v>
      </c>
      <c r="D28">
        <v>23.1</v>
      </c>
      <c r="E28">
        <v>23</v>
      </c>
      <c r="F28">
        <v>0.0132</v>
      </c>
      <c r="G28">
        <v>0.89760467536325</v>
      </c>
      <c r="H28">
        <v>24.2</v>
      </c>
      <c r="I28">
        <v>228.192933636147</v>
      </c>
      <c r="J28">
        <v>129.113008852051</v>
      </c>
      <c r="K28">
        <v>59.5948961114641</v>
      </c>
      <c r="L28">
        <v>1</v>
      </c>
    </row>
    <row r="29" spans="1:12">
      <c r="A29">
        <v>1</v>
      </c>
      <c r="B29">
        <v>57.5</v>
      </c>
      <c r="C29">
        <v>6.7</v>
      </c>
      <c r="D29">
        <v>23.1</v>
      </c>
      <c r="E29">
        <v>23</v>
      </c>
      <c r="F29">
        <v>0.0132</v>
      </c>
      <c r="G29">
        <v>0.883786850160418</v>
      </c>
      <c r="H29">
        <v>27.3</v>
      </c>
      <c r="I29">
        <v>258.870651788354</v>
      </c>
      <c r="J29">
        <v>155.930048691669</v>
      </c>
      <c r="K29">
        <v>60.7430395953873</v>
      </c>
      <c r="L29">
        <v>1</v>
      </c>
    </row>
    <row r="30" spans="1:12">
      <c r="A30">
        <v>1</v>
      </c>
      <c r="B30">
        <v>60</v>
      </c>
      <c r="C30">
        <v>6.7</v>
      </c>
      <c r="D30">
        <v>23.2</v>
      </c>
      <c r="E30">
        <v>23</v>
      </c>
      <c r="F30">
        <v>0.0132</v>
      </c>
      <c r="G30">
        <v>0.868253123396246</v>
      </c>
      <c r="H30">
        <v>30.5</v>
      </c>
      <c r="I30">
        <v>291.443605607848</v>
      </c>
      <c r="J30">
        <v>161.045264067077</v>
      </c>
      <c r="K30">
        <v>61.3986891181269</v>
      </c>
      <c r="L30">
        <v>1</v>
      </c>
    </row>
    <row r="31" spans="1:12">
      <c r="A31">
        <v>1</v>
      </c>
      <c r="B31">
        <v>62.5</v>
      </c>
      <c r="C31">
        <v>6.7</v>
      </c>
      <c r="D31">
        <v>23.3</v>
      </c>
      <c r="E31">
        <v>23</v>
      </c>
      <c r="F31">
        <v>0.0132</v>
      </c>
      <c r="G31">
        <v>0.850790029374404</v>
      </c>
      <c r="H31">
        <v>34</v>
      </c>
      <c r="I31">
        <v>327.047270338134</v>
      </c>
      <c r="J31">
        <v>182.940236422474</v>
      </c>
      <c r="K31">
        <v>61.996815202262</v>
      </c>
      <c r="L31">
        <v>1</v>
      </c>
    </row>
    <row r="32" spans="1:12">
      <c r="A32">
        <v>1</v>
      </c>
      <c r="B32">
        <v>65</v>
      </c>
      <c r="C32">
        <v>6.7</v>
      </c>
      <c r="D32">
        <v>23.4</v>
      </c>
      <c r="E32">
        <v>23</v>
      </c>
      <c r="F32">
        <v>0.0132</v>
      </c>
      <c r="G32">
        <v>0.831152647810126</v>
      </c>
      <c r="H32">
        <v>36.5</v>
      </c>
      <c r="I32">
        <v>360.60965094893</v>
      </c>
      <c r="J32">
        <v>185.327822644477</v>
      </c>
      <c r="K32">
        <v>60.3550241149719</v>
      </c>
      <c r="L32">
        <v>1</v>
      </c>
    </row>
    <row r="33" spans="1:12">
      <c r="A33">
        <v>1</v>
      </c>
      <c r="B33">
        <v>67.5</v>
      </c>
      <c r="C33">
        <v>6.7</v>
      </c>
      <c r="D33">
        <v>23.4</v>
      </c>
      <c r="E33">
        <v>23</v>
      </c>
      <c r="F33">
        <v>0.0132</v>
      </c>
      <c r="G33">
        <v>0.809058400419842</v>
      </c>
      <c r="H33">
        <v>38.2</v>
      </c>
      <c r="I33">
        <v>393.271478974966</v>
      </c>
      <c r="J33">
        <v>183.760455550553</v>
      </c>
      <c r="K33">
        <v>57.3376656519633</v>
      </c>
      <c r="L33">
        <v>1</v>
      </c>
    </row>
    <row r="34" spans="1:12">
      <c r="A34">
        <v>1</v>
      </c>
      <c r="B34">
        <v>70</v>
      </c>
      <c r="C34">
        <v>6.7</v>
      </c>
      <c r="D34">
        <v>23.4</v>
      </c>
      <c r="E34">
        <v>23</v>
      </c>
      <c r="F34">
        <v>0.0132</v>
      </c>
      <c r="G34">
        <v>0.784179277129304</v>
      </c>
      <c r="H34">
        <v>40.6</v>
      </c>
      <c r="I34">
        <v>431.009471269594</v>
      </c>
      <c r="J34">
        <v>199.168666536768</v>
      </c>
      <c r="K34">
        <v>55.3796434935087</v>
      </c>
      <c r="L34">
        <v>1</v>
      </c>
    </row>
    <row r="35" spans="1:12">
      <c r="A35">
        <v>1</v>
      </c>
      <c r="B35">
        <v>45</v>
      </c>
      <c r="C35">
        <v>8.4</v>
      </c>
      <c r="D35">
        <v>23.8</v>
      </c>
      <c r="E35">
        <v>23</v>
      </c>
      <c r="F35">
        <v>0.0132</v>
      </c>
      <c r="G35">
        <v>0.93913980595102</v>
      </c>
      <c r="H35">
        <v>21.1</v>
      </c>
      <c r="I35">
        <v>173.833007535381</v>
      </c>
      <c r="J35">
        <v>204.745793247962</v>
      </c>
      <c r="K35">
        <v>63.0566615450303</v>
      </c>
      <c r="L35">
        <v>1</v>
      </c>
    </row>
    <row r="36" spans="1:12">
      <c r="A36">
        <v>1</v>
      </c>
      <c r="B36">
        <v>47.5</v>
      </c>
      <c r="C36">
        <v>8.4</v>
      </c>
      <c r="D36">
        <v>23.8</v>
      </c>
      <c r="E36">
        <v>23</v>
      </c>
      <c r="F36">
        <v>0.0132</v>
      </c>
      <c r="G36">
        <v>0.930523923822277</v>
      </c>
      <c r="H36">
        <v>23.7</v>
      </c>
      <c r="I36">
        <v>200.181732743013</v>
      </c>
      <c r="J36">
        <v>250.227165928767</v>
      </c>
      <c r="K36">
        <v>63.6608168114947</v>
      </c>
      <c r="L36">
        <v>1</v>
      </c>
    </row>
    <row r="37" spans="1:12">
      <c r="A37">
        <v>1</v>
      </c>
      <c r="B37">
        <v>50</v>
      </c>
      <c r="C37">
        <v>8.4</v>
      </c>
      <c r="D37">
        <v>23.8</v>
      </c>
      <c r="E37">
        <v>23</v>
      </c>
      <c r="F37">
        <v>0.0132</v>
      </c>
      <c r="G37">
        <v>0.920818198615511</v>
      </c>
      <c r="H37">
        <v>25.9</v>
      </c>
      <c r="I37">
        <v>226.459548835616</v>
      </c>
      <c r="J37">
        <v>240.389627580406</v>
      </c>
      <c r="K37">
        <v>62.6192831788945</v>
      </c>
      <c r="L37">
        <v>1</v>
      </c>
    </row>
    <row r="38" spans="1:12">
      <c r="A38">
        <v>1</v>
      </c>
      <c r="B38">
        <v>52.5</v>
      </c>
      <c r="C38">
        <v>8.4</v>
      </c>
      <c r="D38">
        <v>24</v>
      </c>
      <c r="E38">
        <v>23</v>
      </c>
      <c r="F38">
        <v>0.0132</v>
      </c>
      <c r="G38">
        <v>0.909893599259399</v>
      </c>
      <c r="H38">
        <v>28.1</v>
      </c>
      <c r="I38">
        <v>253.885943864071</v>
      </c>
      <c r="J38">
        <v>213.563928446579</v>
      </c>
      <c r="K38">
        <v>61.2510146527061</v>
      </c>
      <c r="L38">
        <v>1</v>
      </c>
    </row>
    <row r="39" spans="1:12">
      <c r="A39">
        <v>1</v>
      </c>
      <c r="B39">
        <v>55</v>
      </c>
      <c r="C39">
        <v>8.4</v>
      </c>
      <c r="D39">
        <v>24.1</v>
      </c>
      <c r="E39">
        <v>23</v>
      </c>
      <c r="F39">
        <v>0.0132</v>
      </c>
      <c r="G39">
        <v>0.89760467536325</v>
      </c>
      <c r="H39">
        <v>30.4</v>
      </c>
      <c r="I39">
        <v>283.788944212811</v>
      </c>
      <c r="J39">
        <v>212.667716840868</v>
      </c>
      <c r="K39">
        <v>59.8077713222527</v>
      </c>
      <c r="L39">
        <v>1</v>
      </c>
    </row>
    <row r="40" spans="1:12">
      <c r="A40">
        <v>1</v>
      </c>
      <c r="B40">
        <v>57.5</v>
      </c>
      <c r="C40">
        <v>8.4</v>
      </c>
      <c r="D40">
        <v>24.3</v>
      </c>
      <c r="E40">
        <v>23</v>
      </c>
      <c r="F40">
        <v>0.0132</v>
      </c>
      <c r="G40">
        <v>0.883786850160418</v>
      </c>
      <c r="H40">
        <v>32.7</v>
      </c>
      <c r="I40">
        <v>315.400147687313</v>
      </c>
      <c r="J40">
        <v>205.276546315683</v>
      </c>
      <c r="K40">
        <v>58.1443433483528</v>
      </c>
      <c r="L40">
        <v>1</v>
      </c>
    </row>
    <row r="41" spans="1:12">
      <c r="A41">
        <v>1</v>
      </c>
      <c r="B41">
        <v>60</v>
      </c>
      <c r="C41">
        <v>8.4</v>
      </c>
      <c r="D41">
        <v>24.9</v>
      </c>
      <c r="E41">
        <v>23</v>
      </c>
      <c r="F41">
        <v>0.0132</v>
      </c>
      <c r="G41">
        <v>0.868253123396246</v>
      </c>
      <c r="H41">
        <v>35</v>
      </c>
      <c r="I41">
        <v>348.107103304465</v>
      </c>
      <c r="J41">
        <v>178.555601281934</v>
      </c>
      <c r="K41">
        <v>56.3499845379706</v>
      </c>
      <c r="L41">
        <v>1</v>
      </c>
    </row>
    <row r="42" spans="1:12">
      <c r="A42">
        <v>1</v>
      </c>
      <c r="B42">
        <v>62.5</v>
      </c>
      <c r="C42">
        <v>8.4</v>
      </c>
      <c r="D42">
        <v>25.5</v>
      </c>
      <c r="E42">
        <v>23</v>
      </c>
      <c r="F42">
        <v>0.0132</v>
      </c>
      <c r="G42">
        <v>0.850790029374404</v>
      </c>
      <c r="H42">
        <v>37.9</v>
      </c>
      <c r="I42">
        <v>385.518152881026</v>
      </c>
      <c r="J42">
        <v>191.16864384437</v>
      </c>
      <c r="K42">
        <v>55.3138334928298</v>
      </c>
      <c r="L42">
        <v>1</v>
      </c>
    </row>
    <row r="43" spans="1:12">
      <c r="A43">
        <v>1</v>
      </c>
      <c r="B43">
        <v>65</v>
      </c>
      <c r="C43">
        <v>8.4</v>
      </c>
      <c r="D43">
        <v>26</v>
      </c>
      <c r="E43">
        <v>23</v>
      </c>
      <c r="F43">
        <v>0.0132</v>
      </c>
      <c r="G43">
        <v>0.831152647810126</v>
      </c>
      <c r="H43">
        <v>40.6</v>
      </c>
      <c r="I43">
        <v>424.871940971654</v>
      </c>
      <c r="J43">
        <v>202.382452003377</v>
      </c>
      <c r="K43">
        <v>53.7671628366366</v>
      </c>
      <c r="L43">
        <v>1</v>
      </c>
    </row>
    <row r="44" spans="1:12">
      <c r="A44">
        <v>1</v>
      </c>
      <c r="B44">
        <v>67.5</v>
      </c>
      <c r="C44">
        <v>8.4</v>
      </c>
      <c r="D44">
        <v>26.1</v>
      </c>
      <c r="E44">
        <v>23</v>
      </c>
      <c r="F44">
        <v>0.0132</v>
      </c>
      <c r="G44">
        <v>0.809058400419842</v>
      </c>
      <c r="H44">
        <v>42</v>
      </c>
      <c r="I44">
        <v>462.731223525488</v>
      </c>
      <c r="J44">
        <v>165.897919807342</v>
      </c>
      <c r="K44">
        <v>50.4960455834963</v>
      </c>
      <c r="L44">
        <v>1</v>
      </c>
    </row>
    <row r="45" spans="1:12">
      <c r="A45">
        <v>1</v>
      </c>
      <c r="B45">
        <v>70</v>
      </c>
      <c r="C45">
        <v>8.4</v>
      </c>
      <c r="D45">
        <v>26.1</v>
      </c>
      <c r="E45">
        <v>23</v>
      </c>
      <c r="F45">
        <v>0.0132</v>
      </c>
      <c r="G45">
        <v>0.784179277129304</v>
      </c>
      <c r="H45">
        <v>43.9</v>
      </c>
      <c r="I45">
        <v>505.711248263073</v>
      </c>
      <c r="J45">
        <v>165.936503336321</v>
      </c>
      <c r="K45">
        <v>47.9637265194785</v>
      </c>
      <c r="L45">
        <v>1</v>
      </c>
    </row>
    <row r="46" spans="1:12">
      <c r="A46">
        <v>1</v>
      </c>
      <c r="B46">
        <v>45</v>
      </c>
      <c r="C46">
        <v>5.5</v>
      </c>
      <c r="D46">
        <v>20.1</v>
      </c>
      <c r="E46">
        <v>20</v>
      </c>
      <c r="F46">
        <v>0.063</v>
      </c>
      <c r="G46">
        <v>0.93913980595102</v>
      </c>
      <c r="H46">
        <v>2.5</v>
      </c>
      <c r="I46">
        <v>112.276084005364</v>
      </c>
      <c r="J46">
        <v>27.1472564169368</v>
      </c>
      <c r="K46">
        <v>54.1317518177506</v>
      </c>
      <c r="L46">
        <v>1</v>
      </c>
    </row>
    <row r="47" spans="1:12">
      <c r="A47">
        <v>1</v>
      </c>
      <c r="B47">
        <v>47.5</v>
      </c>
      <c r="C47">
        <v>5.5</v>
      </c>
      <c r="D47">
        <v>20.1</v>
      </c>
      <c r="E47">
        <v>20</v>
      </c>
      <c r="F47">
        <v>0.063</v>
      </c>
      <c r="G47">
        <v>0.930523923822277</v>
      </c>
      <c r="H47">
        <v>3.2</v>
      </c>
      <c r="I47">
        <v>136.058006949933</v>
      </c>
      <c r="J47">
        <v>30.8832641336543</v>
      </c>
      <c r="K47">
        <v>62.2799173081746</v>
      </c>
      <c r="L47">
        <v>1</v>
      </c>
    </row>
    <row r="48" spans="1:12">
      <c r="A48">
        <v>1</v>
      </c>
      <c r="B48">
        <v>50</v>
      </c>
      <c r="C48">
        <v>5.5</v>
      </c>
      <c r="D48">
        <v>20.1</v>
      </c>
      <c r="E48">
        <v>20</v>
      </c>
      <c r="F48">
        <v>0.063</v>
      </c>
      <c r="G48">
        <v>0.920818198615511</v>
      </c>
      <c r="H48">
        <v>4</v>
      </c>
      <c r="I48">
        <v>162.755175989738</v>
      </c>
      <c r="J48">
        <v>34.94323233509</v>
      </c>
      <c r="K48">
        <v>70.0733781810345</v>
      </c>
      <c r="L48">
        <v>1</v>
      </c>
    </row>
    <row r="49" spans="1:12">
      <c r="A49">
        <v>1</v>
      </c>
      <c r="B49">
        <v>52.5</v>
      </c>
      <c r="C49">
        <v>5.5</v>
      </c>
      <c r="D49">
        <v>20.2</v>
      </c>
      <c r="E49">
        <v>20</v>
      </c>
      <c r="F49">
        <v>0.063</v>
      </c>
      <c r="G49">
        <v>0.909893599259399</v>
      </c>
      <c r="H49">
        <v>4.6</v>
      </c>
      <c r="I49">
        <v>186.563683670206</v>
      </c>
      <c r="J49">
        <v>33.2586109102086</v>
      </c>
      <c r="K49">
        <v>72.6424850853512</v>
      </c>
      <c r="L49">
        <v>1</v>
      </c>
    </row>
    <row r="50" spans="1:12">
      <c r="A50">
        <v>1</v>
      </c>
      <c r="B50">
        <v>55</v>
      </c>
      <c r="C50">
        <v>5.5</v>
      </c>
      <c r="D50">
        <v>20.2</v>
      </c>
      <c r="E50">
        <v>20</v>
      </c>
      <c r="F50">
        <v>0.063</v>
      </c>
      <c r="G50">
        <v>0.89760467536325</v>
      </c>
      <c r="H50">
        <v>5.2</v>
      </c>
      <c r="I50">
        <v>211.704431985486</v>
      </c>
      <c r="J50">
        <v>35.7891084589884</v>
      </c>
      <c r="K50">
        <v>74.1061916450669</v>
      </c>
      <c r="L50">
        <v>1</v>
      </c>
    </row>
    <row r="51" spans="1:12">
      <c r="A51">
        <v>1</v>
      </c>
      <c r="B51">
        <v>57.5</v>
      </c>
      <c r="C51">
        <v>5.5</v>
      </c>
      <c r="D51">
        <v>20.2</v>
      </c>
      <c r="E51">
        <v>20</v>
      </c>
      <c r="F51">
        <v>0.063</v>
      </c>
      <c r="G51">
        <v>0.883786850160418</v>
      </c>
      <c r="H51">
        <v>6.1</v>
      </c>
      <c r="I51">
        <v>243.867556532276</v>
      </c>
      <c r="J51">
        <v>39.5209714672072</v>
      </c>
      <c r="K51">
        <v>78.5469337816217</v>
      </c>
      <c r="L51">
        <v>1</v>
      </c>
    </row>
    <row r="52" spans="1:12">
      <c r="A52">
        <v>1</v>
      </c>
      <c r="B52">
        <v>60</v>
      </c>
      <c r="C52">
        <v>5.5</v>
      </c>
      <c r="D52">
        <v>20.2</v>
      </c>
      <c r="E52">
        <v>20</v>
      </c>
      <c r="F52">
        <v>0.063</v>
      </c>
      <c r="G52">
        <v>0.868253123396246</v>
      </c>
      <c r="H52">
        <v>7</v>
      </c>
      <c r="I52">
        <v>277.414792279113</v>
      </c>
      <c r="J52">
        <v>43.184902531421</v>
      </c>
      <c r="K52">
        <v>81.5383391392601</v>
      </c>
      <c r="L52">
        <v>1</v>
      </c>
    </row>
    <row r="53" spans="1:12">
      <c r="A53">
        <v>1</v>
      </c>
      <c r="B53">
        <v>62.5</v>
      </c>
      <c r="C53">
        <v>5.7</v>
      </c>
      <c r="D53">
        <v>20.2</v>
      </c>
      <c r="E53">
        <v>20</v>
      </c>
      <c r="F53">
        <v>0.063</v>
      </c>
      <c r="G53">
        <v>0.850790029374404</v>
      </c>
      <c r="H53">
        <v>8.1</v>
      </c>
      <c r="I53">
        <v>322.147321611364</v>
      </c>
      <c r="J53">
        <v>48.4868876817177</v>
      </c>
      <c r="K53">
        <v>82.4531788398358</v>
      </c>
      <c r="L53">
        <v>1</v>
      </c>
    </row>
    <row r="54" spans="1:12">
      <c r="A54">
        <v>1</v>
      </c>
      <c r="B54">
        <v>65</v>
      </c>
      <c r="C54">
        <v>5.7</v>
      </c>
      <c r="D54">
        <v>20.3</v>
      </c>
      <c r="E54">
        <v>20</v>
      </c>
      <c r="F54">
        <v>0.063</v>
      </c>
      <c r="G54">
        <v>0.831152647810126</v>
      </c>
      <c r="H54">
        <v>9.1</v>
      </c>
      <c r="I54">
        <v>361.269244603637</v>
      </c>
      <c r="J54">
        <v>48.5552978485793</v>
      </c>
      <c r="K54">
        <v>84.004517399657</v>
      </c>
      <c r="L54">
        <v>1</v>
      </c>
    </row>
    <row r="55" spans="1:12">
      <c r="A55">
        <v>1</v>
      </c>
      <c r="B55">
        <v>67.5</v>
      </c>
      <c r="C55">
        <v>5.7</v>
      </c>
      <c r="D55">
        <v>20.3</v>
      </c>
      <c r="E55">
        <v>20</v>
      </c>
      <c r="F55">
        <v>0.063</v>
      </c>
      <c r="G55">
        <v>0.809058400419842</v>
      </c>
      <c r="H55">
        <v>10.3</v>
      </c>
      <c r="I55">
        <v>406.162895088737</v>
      </c>
      <c r="J55">
        <v>53.0574394533607</v>
      </c>
      <c r="K55">
        <v>86.3103572652896</v>
      </c>
      <c r="L55">
        <v>1</v>
      </c>
    </row>
    <row r="56" spans="1:12">
      <c r="A56">
        <v>1</v>
      </c>
      <c r="B56">
        <v>70</v>
      </c>
      <c r="C56">
        <v>5.7</v>
      </c>
      <c r="D56">
        <v>20.3</v>
      </c>
      <c r="E56">
        <v>20</v>
      </c>
      <c r="F56">
        <v>0.063</v>
      </c>
      <c r="G56">
        <v>0.784179277129304</v>
      </c>
      <c r="H56">
        <v>11.5</v>
      </c>
      <c r="I56">
        <v>452.982048348475</v>
      </c>
      <c r="J56">
        <v>57.5670344246308</v>
      </c>
      <c r="K56">
        <v>87.574829554703</v>
      </c>
      <c r="L56">
        <v>1</v>
      </c>
    </row>
    <row r="57" spans="1:12">
      <c r="A57">
        <v>1</v>
      </c>
      <c r="B57">
        <v>45</v>
      </c>
      <c r="C57">
        <v>8.5</v>
      </c>
      <c r="D57">
        <v>20.2</v>
      </c>
      <c r="E57">
        <v>20.1</v>
      </c>
      <c r="F57">
        <v>0.063</v>
      </c>
      <c r="G57">
        <v>0.93913980595102</v>
      </c>
      <c r="H57">
        <v>4.9</v>
      </c>
      <c r="I57">
        <v>193.118816688582</v>
      </c>
      <c r="J57">
        <v>51.4173256416245</v>
      </c>
      <c r="K57">
        <v>68.6630240911944</v>
      </c>
      <c r="L57">
        <v>1</v>
      </c>
    </row>
    <row r="58" spans="1:12">
      <c r="A58">
        <v>1</v>
      </c>
      <c r="B58">
        <v>47.5</v>
      </c>
      <c r="C58">
        <v>8.5</v>
      </c>
      <c r="D58">
        <v>20.2</v>
      </c>
      <c r="E58">
        <v>20.1</v>
      </c>
      <c r="F58">
        <v>0.063</v>
      </c>
      <c r="G58">
        <v>0.930523923822277</v>
      </c>
      <c r="H58">
        <v>5.8</v>
      </c>
      <c r="I58">
        <v>226.394017960287</v>
      </c>
      <c r="J58">
        <v>56.6014361102696</v>
      </c>
      <c r="K58">
        <v>73.0534157481079</v>
      </c>
      <c r="L58">
        <v>1</v>
      </c>
    </row>
    <row r="59" spans="1:12">
      <c r="A59">
        <v>1</v>
      </c>
      <c r="B59">
        <v>50</v>
      </c>
      <c r="C59">
        <v>8.5</v>
      </c>
      <c r="D59">
        <v>20.2</v>
      </c>
      <c r="E59">
        <v>20.1</v>
      </c>
      <c r="F59">
        <v>0.063</v>
      </c>
      <c r="G59">
        <v>0.920818198615511</v>
      </c>
      <c r="H59">
        <v>6.7</v>
      </c>
      <c r="I59">
        <v>261.216592715101</v>
      </c>
      <c r="J59">
        <v>61.5921289021942</v>
      </c>
      <c r="K59">
        <v>75.9594941849144</v>
      </c>
      <c r="L59">
        <v>1</v>
      </c>
    </row>
    <row r="60" spans="1:12">
      <c r="A60">
        <v>1</v>
      </c>
      <c r="B60">
        <v>52.5</v>
      </c>
      <c r="C60">
        <v>8.5</v>
      </c>
      <c r="D60">
        <v>20.4</v>
      </c>
      <c r="E60">
        <v>20.1</v>
      </c>
      <c r="F60">
        <v>0.063</v>
      </c>
      <c r="G60">
        <v>0.909893599259399</v>
      </c>
      <c r="H60">
        <v>7.6</v>
      </c>
      <c r="I60">
        <v>297.258024801482</v>
      </c>
      <c r="J60">
        <v>53.564882449657</v>
      </c>
      <c r="K60">
        <v>77.6838037391884</v>
      </c>
      <c r="L60">
        <v>1</v>
      </c>
    </row>
    <row r="61" spans="1:12">
      <c r="A61">
        <v>1</v>
      </c>
      <c r="B61">
        <v>55</v>
      </c>
      <c r="C61">
        <v>8.5</v>
      </c>
      <c r="D61">
        <v>20.4</v>
      </c>
      <c r="E61">
        <v>20.1</v>
      </c>
      <c r="F61">
        <v>0.063</v>
      </c>
      <c r="G61">
        <v>0.89760467536325</v>
      </c>
      <c r="H61">
        <v>8.8</v>
      </c>
      <c r="I61">
        <v>341.335601679466</v>
      </c>
      <c r="J61">
        <v>59.0842416560534</v>
      </c>
      <c r="K61">
        <v>81.1740638234354</v>
      </c>
      <c r="L61">
        <v>1</v>
      </c>
    </row>
    <row r="62" spans="1:12">
      <c r="A62">
        <v>1</v>
      </c>
      <c r="B62">
        <v>57.5</v>
      </c>
      <c r="C62">
        <v>8.5</v>
      </c>
      <c r="D62">
        <v>20.4</v>
      </c>
      <c r="E62">
        <v>20.1</v>
      </c>
      <c r="F62">
        <v>0.063</v>
      </c>
      <c r="G62">
        <v>0.883786850160418</v>
      </c>
      <c r="H62">
        <v>10.1</v>
      </c>
      <c r="I62">
        <v>389.3059589071</v>
      </c>
      <c r="J62">
        <v>65.040906877028</v>
      </c>
      <c r="K62">
        <v>84.1789841395322</v>
      </c>
      <c r="L62">
        <v>1</v>
      </c>
    </row>
    <row r="63" spans="1:12">
      <c r="A63">
        <v>1</v>
      </c>
      <c r="B63">
        <v>60</v>
      </c>
      <c r="C63">
        <v>8.5</v>
      </c>
      <c r="D63">
        <v>20.4</v>
      </c>
      <c r="E63">
        <v>20.1</v>
      </c>
      <c r="F63">
        <v>0.063</v>
      </c>
      <c r="G63">
        <v>0.868253123396246</v>
      </c>
      <c r="H63">
        <v>11.3</v>
      </c>
      <c r="I63">
        <v>437.501602213985</v>
      </c>
      <c r="J63">
        <v>70.4544467434133</v>
      </c>
      <c r="K63">
        <v>85.1970612955873</v>
      </c>
      <c r="L63">
        <v>1</v>
      </c>
    </row>
    <row r="64" spans="1:12">
      <c r="A64">
        <v>1</v>
      </c>
      <c r="B64">
        <v>62.5</v>
      </c>
      <c r="C64">
        <v>8.5</v>
      </c>
      <c r="D64">
        <v>20.4</v>
      </c>
      <c r="E64">
        <v>20.1</v>
      </c>
      <c r="F64">
        <v>0.063</v>
      </c>
      <c r="G64">
        <v>0.850790029374404</v>
      </c>
      <c r="H64">
        <v>12.8</v>
      </c>
      <c r="I64">
        <v>493.74820325045</v>
      </c>
      <c r="J64">
        <v>77.3777103352551</v>
      </c>
      <c r="K64">
        <v>87.4029961772263</v>
      </c>
      <c r="L64">
        <v>1</v>
      </c>
    </row>
    <row r="65" spans="1:12">
      <c r="A65">
        <v>1</v>
      </c>
      <c r="B65">
        <v>65</v>
      </c>
      <c r="C65">
        <v>8.5</v>
      </c>
      <c r="D65">
        <v>20.4</v>
      </c>
      <c r="E65">
        <v>20.1</v>
      </c>
      <c r="F65">
        <v>0.063</v>
      </c>
      <c r="G65">
        <v>0.831152647810126</v>
      </c>
      <c r="H65">
        <v>14.3</v>
      </c>
      <c r="I65">
        <v>552.481970771675</v>
      </c>
      <c r="J65">
        <v>84.330498173225</v>
      </c>
      <c r="K65">
        <v>88.536419706343</v>
      </c>
      <c r="L65">
        <v>1</v>
      </c>
    </row>
    <row r="66" spans="1:12">
      <c r="A66">
        <v>1</v>
      </c>
      <c r="B66">
        <v>67.5</v>
      </c>
      <c r="C66">
        <v>8.5</v>
      </c>
      <c r="D66">
        <v>20.4</v>
      </c>
      <c r="E66">
        <v>20.1</v>
      </c>
      <c r="F66">
        <v>0.063</v>
      </c>
      <c r="G66">
        <v>0.809058400419842</v>
      </c>
      <c r="H66">
        <v>15.9</v>
      </c>
      <c r="I66">
        <v>615.804509115913</v>
      </c>
      <c r="J66">
        <v>91.8567233613359</v>
      </c>
      <c r="K66">
        <v>89.3608337957952</v>
      </c>
      <c r="L66">
        <v>1</v>
      </c>
    </row>
    <row r="67" spans="1:12">
      <c r="A67">
        <v>1</v>
      </c>
      <c r="B67">
        <v>70</v>
      </c>
      <c r="C67">
        <v>8.5</v>
      </c>
      <c r="D67">
        <v>20.4</v>
      </c>
      <c r="E67">
        <v>20.1</v>
      </c>
      <c r="F67">
        <v>0.063</v>
      </c>
      <c r="G67">
        <v>0.784179277129304</v>
      </c>
      <c r="H67">
        <v>17</v>
      </c>
      <c r="I67">
        <v>672.428288435259</v>
      </c>
      <c r="J67">
        <v>96.8924911685902</v>
      </c>
      <c r="K67">
        <v>86.8269431524452</v>
      </c>
      <c r="L67">
        <v>1</v>
      </c>
    </row>
    <row r="68" spans="1:12">
      <c r="A68">
        <v>1</v>
      </c>
      <c r="B68">
        <v>45</v>
      </c>
      <c r="C68">
        <v>10</v>
      </c>
      <c r="D68">
        <v>20.3</v>
      </c>
      <c r="E68">
        <v>19.9</v>
      </c>
      <c r="F68">
        <v>0.063</v>
      </c>
      <c r="G68">
        <v>0.93913980595102</v>
      </c>
      <c r="H68">
        <v>5.9</v>
      </c>
      <c r="I68">
        <v>229.510300905931</v>
      </c>
      <c r="J68">
        <v>47.2596015362135</v>
      </c>
      <c r="K68">
        <v>70.2859925966169</v>
      </c>
      <c r="L68">
        <v>1</v>
      </c>
    </row>
    <row r="69" spans="1:12">
      <c r="A69">
        <v>1</v>
      </c>
      <c r="B69">
        <v>47.5</v>
      </c>
      <c r="C69">
        <v>10</v>
      </c>
      <c r="D69">
        <v>20.3</v>
      </c>
      <c r="E69">
        <v>19.9</v>
      </c>
      <c r="F69">
        <v>0.063</v>
      </c>
      <c r="G69">
        <v>0.930523923822277</v>
      </c>
      <c r="H69">
        <v>6.7</v>
      </c>
      <c r="I69">
        <v>263.705257647836</v>
      </c>
      <c r="J69">
        <v>50.8891960331891</v>
      </c>
      <c r="K69">
        <v>71.7425767542791</v>
      </c>
      <c r="L69">
        <v>1</v>
      </c>
    </row>
    <row r="70" spans="1:12">
      <c r="A70">
        <v>1</v>
      </c>
      <c r="B70">
        <v>50</v>
      </c>
      <c r="C70">
        <v>10</v>
      </c>
      <c r="D70">
        <v>20.3</v>
      </c>
      <c r="E70">
        <v>19.9</v>
      </c>
      <c r="F70">
        <v>0.063</v>
      </c>
      <c r="G70">
        <v>0.920818198615511</v>
      </c>
      <c r="H70">
        <v>7.9</v>
      </c>
      <c r="I70">
        <v>307.377010873774</v>
      </c>
      <c r="J70">
        <v>56.6304498827086</v>
      </c>
      <c r="K70">
        <v>76.1418984588217</v>
      </c>
      <c r="L70">
        <v>1</v>
      </c>
    </row>
    <row r="71" spans="1:12">
      <c r="A71">
        <v>1</v>
      </c>
      <c r="B71">
        <v>52.5</v>
      </c>
      <c r="C71">
        <v>10</v>
      </c>
      <c r="D71">
        <v>20.4</v>
      </c>
      <c r="E71">
        <v>19.9</v>
      </c>
      <c r="F71">
        <v>0.063</v>
      </c>
      <c r="G71">
        <v>0.909893599259399</v>
      </c>
      <c r="H71">
        <v>9.1</v>
      </c>
      <c r="I71">
        <v>352.755304913508</v>
      </c>
      <c r="J71">
        <v>59.050434400141</v>
      </c>
      <c r="K71">
        <v>79.0637134108714</v>
      </c>
      <c r="L71">
        <v>1</v>
      </c>
    </row>
    <row r="72" spans="1:12">
      <c r="A72">
        <v>1</v>
      </c>
      <c r="B72">
        <v>55</v>
      </c>
      <c r="C72">
        <v>10</v>
      </c>
      <c r="D72">
        <v>20.4</v>
      </c>
      <c r="E72">
        <v>19.9</v>
      </c>
      <c r="F72">
        <v>0.063</v>
      </c>
      <c r="G72">
        <v>0.89760467536325</v>
      </c>
      <c r="H72">
        <v>10.4</v>
      </c>
      <c r="I72">
        <v>402.472031387607</v>
      </c>
      <c r="J72">
        <v>64.8603706419946</v>
      </c>
      <c r="K72">
        <v>81.5430368408147</v>
      </c>
      <c r="L72">
        <v>1</v>
      </c>
    </row>
    <row r="73" spans="1:12">
      <c r="A73">
        <v>1</v>
      </c>
      <c r="B73">
        <v>57.5</v>
      </c>
      <c r="C73">
        <v>10</v>
      </c>
      <c r="D73">
        <v>20.4</v>
      </c>
      <c r="E73">
        <v>19.9</v>
      </c>
      <c r="F73">
        <v>0.063</v>
      </c>
      <c r="G73">
        <v>0.883786850160418</v>
      </c>
      <c r="H73">
        <v>11.5</v>
      </c>
      <c r="I73">
        <v>450.688536214236</v>
      </c>
      <c r="J73">
        <v>69.6293101651518</v>
      </c>
      <c r="K73">
        <v>81.470254451874</v>
      </c>
      <c r="L73">
        <v>1</v>
      </c>
    </row>
    <row r="74" spans="1:12">
      <c r="A74">
        <v>1</v>
      </c>
      <c r="B74">
        <v>60</v>
      </c>
      <c r="C74">
        <v>10</v>
      </c>
      <c r="D74">
        <v>20.6</v>
      </c>
      <c r="E74">
        <v>19.9</v>
      </c>
      <c r="F74">
        <v>0.063</v>
      </c>
      <c r="G74">
        <v>0.868253123396246</v>
      </c>
      <c r="H74">
        <v>13.2</v>
      </c>
      <c r="I74">
        <v>512.370422888779</v>
      </c>
      <c r="J74">
        <v>71.3564057073366</v>
      </c>
      <c r="K74">
        <v>84.6208864981572</v>
      </c>
      <c r="L74">
        <v>1</v>
      </c>
    </row>
    <row r="75" spans="1:12">
      <c r="A75">
        <v>1</v>
      </c>
      <c r="B75">
        <v>62.5</v>
      </c>
      <c r="C75">
        <v>10</v>
      </c>
      <c r="D75">
        <v>20.6</v>
      </c>
      <c r="E75">
        <v>19.9</v>
      </c>
      <c r="F75">
        <v>0.063</v>
      </c>
      <c r="G75">
        <v>0.850790029374404</v>
      </c>
      <c r="H75">
        <v>14.8</v>
      </c>
      <c r="I75">
        <v>575.395530723641</v>
      </c>
      <c r="J75">
        <v>78.1712189840365</v>
      </c>
      <c r="K75">
        <v>85.9280555098909</v>
      </c>
      <c r="L75">
        <v>1</v>
      </c>
    </row>
    <row r="76" spans="1:12">
      <c r="A76">
        <v>1</v>
      </c>
      <c r="B76">
        <v>65</v>
      </c>
      <c r="C76">
        <v>10</v>
      </c>
      <c r="D76">
        <v>20.7</v>
      </c>
      <c r="E76">
        <v>19.9</v>
      </c>
      <c r="F76">
        <v>0.063</v>
      </c>
      <c r="G76">
        <v>0.831152647810126</v>
      </c>
      <c r="H76">
        <v>16.8</v>
      </c>
      <c r="I76">
        <v>648.739645477637</v>
      </c>
      <c r="J76">
        <v>84.1239654690564</v>
      </c>
      <c r="K76">
        <v>88.4545706388951</v>
      </c>
      <c r="L76">
        <v>1</v>
      </c>
    </row>
    <row r="77" spans="1:12">
      <c r="A77">
        <v>1</v>
      </c>
      <c r="B77">
        <v>67.5</v>
      </c>
      <c r="C77">
        <v>10</v>
      </c>
      <c r="D77">
        <v>20.7</v>
      </c>
      <c r="E77">
        <v>19.9</v>
      </c>
      <c r="F77">
        <v>0.063</v>
      </c>
      <c r="G77">
        <v>0.809058400419842</v>
      </c>
      <c r="H77">
        <v>18.9</v>
      </c>
      <c r="I77">
        <v>727.411723061184</v>
      </c>
      <c r="J77">
        <v>93.3391955326702</v>
      </c>
      <c r="K77">
        <v>90.3308628651687</v>
      </c>
      <c r="L77">
        <v>1</v>
      </c>
    </row>
    <row r="78" spans="1:12">
      <c r="A78">
        <v>1</v>
      </c>
      <c r="B78">
        <v>70</v>
      </c>
      <c r="C78">
        <v>10</v>
      </c>
      <c r="D78">
        <v>20.7</v>
      </c>
      <c r="E78">
        <v>19.9</v>
      </c>
      <c r="F78">
        <v>0.063</v>
      </c>
      <c r="G78">
        <v>0.784179277129304</v>
      </c>
      <c r="H78">
        <v>20.8</v>
      </c>
      <c r="I78">
        <v>805.634660403887</v>
      </c>
      <c r="J78">
        <v>101.785043882104</v>
      </c>
      <c r="K78">
        <v>90.3425585053306</v>
      </c>
      <c r="L78">
        <v>1</v>
      </c>
    </row>
    <row r="79" spans="1:12">
      <c r="A79">
        <v>1</v>
      </c>
      <c r="B79">
        <v>45</v>
      </c>
      <c r="C79">
        <v>6</v>
      </c>
      <c r="D79">
        <v>22.7</v>
      </c>
      <c r="E79">
        <v>22.3</v>
      </c>
      <c r="F79">
        <v>0.03</v>
      </c>
      <c r="G79">
        <v>0.93913980595102</v>
      </c>
      <c r="H79">
        <v>6.7</v>
      </c>
      <c r="I79">
        <v>126.832736234027</v>
      </c>
      <c r="J79">
        <v>29.9917099232535</v>
      </c>
      <c r="K79">
        <v>63.5947862343723</v>
      </c>
      <c r="L79">
        <v>1</v>
      </c>
    </row>
    <row r="80" spans="1:12">
      <c r="A80">
        <v>1</v>
      </c>
      <c r="B80">
        <v>47.5</v>
      </c>
      <c r="C80">
        <v>6</v>
      </c>
      <c r="D80">
        <v>22.7</v>
      </c>
      <c r="E80">
        <v>22.4</v>
      </c>
      <c r="F80">
        <v>0.03</v>
      </c>
      <c r="G80">
        <v>0.930523923822277</v>
      </c>
      <c r="H80">
        <v>7.8</v>
      </c>
      <c r="I80">
        <v>148.216227548166</v>
      </c>
      <c r="J80">
        <v>35.3511335663347</v>
      </c>
      <c r="K80">
        <v>66.5456699746098</v>
      </c>
      <c r="L80">
        <v>1</v>
      </c>
    </row>
    <row r="81" spans="1:12">
      <c r="A81">
        <v>1</v>
      </c>
      <c r="B81">
        <v>50</v>
      </c>
      <c r="C81">
        <v>6</v>
      </c>
      <c r="D81">
        <v>22.6</v>
      </c>
      <c r="E81">
        <v>22.4</v>
      </c>
      <c r="F81">
        <v>0.03</v>
      </c>
      <c r="G81">
        <v>0.920818198615511</v>
      </c>
      <c r="H81">
        <v>9.2</v>
      </c>
      <c r="I81">
        <v>173.607109825192</v>
      </c>
      <c r="J81">
        <v>43.1326728627501</v>
      </c>
      <c r="K81">
        <v>70.6367105650546</v>
      </c>
      <c r="L81">
        <v>1</v>
      </c>
    </row>
    <row r="82" spans="1:12">
      <c r="A82">
        <v>1</v>
      </c>
      <c r="B82">
        <v>52.5</v>
      </c>
      <c r="C82">
        <v>6</v>
      </c>
      <c r="D82">
        <v>22.6</v>
      </c>
      <c r="E82">
        <v>22.4</v>
      </c>
      <c r="F82">
        <v>0.03</v>
      </c>
      <c r="G82">
        <v>0.909893599259399</v>
      </c>
      <c r="H82">
        <v>10.7</v>
      </c>
      <c r="I82">
        <v>200.919065526558</v>
      </c>
      <c r="J82">
        <v>47.8722216070304</v>
      </c>
      <c r="K82">
        <v>74.0438482355239</v>
      </c>
      <c r="L82">
        <v>1</v>
      </c>
    </row>
    <row r="83" spans="1:12">
      <c r="A83">
        <v>1</v>
      </c>
      <c r="B83">
        <v>55</v>
      </c>
      <c r="C83">
        <v>6</v>
      </c>
      <c r="D83">
        <v>22.6</v>
      </c>
      <c r="E83">
        <v>22.4</v>
      </c>
      <c r="F83">
        <v>0.03</v>
      </c>
      <c r="G83">
        <v>0.89760467536325</v>
      </c>
      <c r="H83">
        <v>12.7</v>
      </c>
      <c r="I83">
        <v>234.079759043484</v>
      </c>
      <c r="J83">
        <v>54.6600910105621</v>
      </c>
      <c r="K83">
        <v>79.3086343439194</v>
      </c>
      <c r="L83">
        <v>1</v>
      </c>
    </row>
    <row r="84" spans="1:12">
      <c r="A84">
        <v>1</v>
      </c>
      <c r="B84">
        <v>57.5</v>
      </c>
      <c r="C84">
        <v>6</v>
      </c>
      <c r="D84">
        <v>22.6</v>
      </c>
      <c r="E84">
        <v>22.5</v>
      </c>
      <c r="F84">
        <v>0.03</v>
      </c>
      <c r="G84">
        <v>0.883786850160418</v>
      </c>
      <c r="H84">
        <v>14.3</v>
      </c>
      <c r="I84">
        <v>264.993578317305</v>
      </c>
      <c r="J84">
        <v>68.5988463683168</v>
      </c>
      <c r="K84">
        <v>80.6852869101149</v>
      </c>
      <c r="L84">
        <v>1</v>
      </c>
    </row>
    <row r="85" spans="1:12">
      <c r="A85">
        <v>1</v>
      </c>
      <c r="B85">
        <v>60</v>
      </c>
      <c r="C85">
        <v>6</v>
      </c>
      <c r="D85">
        <v>22.6</v>
      </c>
      <c r="E85">
        <v>22.5</v>
      </c>
      <c r="F85">
        <v>0.03</v>
      </c>
      <c r="G85">
        <v>0.868253123396246</v>
      </c>
      <c r="H85">
        <v>16.6</v>
      </c>
      <c r="I85">
        <v>303.800158209585</v>
      </c>
      <c r="J85">
        <v>78.0289418728553</v>
      </c>
      <c r="K85">
        <v>84.727458839929</v>
      </c>
      <c r="L85">
        <v>1</v>
      </c>
    </row>
    <row r="86" spans="1:12">
      <c r="A86">
        <v>1</v>
      </c>
      <c r="B86">
        <v>62.5</v>
      </c>
      <c r="C86">
        <v>6</v>
      </c>
      <c r="D86">
        <v>22.6</v>
      </c>
      <c r="E86">
        <v>22.5</v>
      </c>
      <c r="F86">
        <v>0.03</v>
      </c>
      <c r="G86">
        <v>0.850790029374404</v>
      </c>
      <c r="H86">
        <v>18.5</v>
      </c>
      <c r="I86">
        <v>340.593269181061</v>
      </c>
      <c r="J86">
        <v>85.4767833452394</v>
      </c>
      <c r="K86">
        <v>85.5169035758893</v>
      </c>
      <c r="L86">
        <v>1</v>
      </c>
    </row>
    <row r="87" spans="1:12">
      <c r="A87">
        <v>1</v>
      </c>
      <c r="B87">
        <v>65</v>
      </c>
      <c r="C87">
        <v>6</v>
      </c>
      <c r="D87">
        <v>22.7</v>
      </c>
      <c r="E87">
        <v>22.4</v>
      </c>
      <c r="F87">
        <v>0.03</v>
      </c>
      <c r="G87">
        <v>0.831152647810126</v>
      </c>
      <c r="H87">
        <v>21</v>
      </c>
      <c r="I87">
        <v>384.445495719103</v>
      </c>
      <c r="J87">
        <v>77.1899073309962</v>
      </c>
      <c r="K87">
        <v>88.0301831270819</v>
      </c>
      <c r="L87">
        <v>1</v>
      </c>
    </row>
    <row r="88" spans="1:12">
      <c r="A88">
        <v>1</v>
      </c>
      <c r="B88">
        <v>67.5</v>
      </c>
      <c r="C88">
        <v>6</v>
      </c>
      <c r="D88">
        <v>22.7</v>
      </c>
      <c r="E88">
        <v>22.4</v>
      </c>
      <c r="F88">
        <v>0.03</v>
      </c>
      <c r="G88">
        <v>0.809058400419842</v>
      </c>
      <c r="H88">
        <v>23</v>
      </c>
      <c r="I88">
        <v>425.802027709774</v>
      </c>
      <c r="J88">
        <v>83.9796919280629</v>
      </c>
      <c r="K88">
        <v>87.5181459399745</v>
      </c>
      <c r="L88">
        <v>1</v>
      </c>
    </row>
    <row r="89" spans="1:12">
      <c r="A89">
        <v>1</v>
      </c>
      <c r="B89">
        <v>70</v>
      </c>
      <c r="C89">
        <v>6</v>
      </c>
      <c r="D89">
        <v>22.6</v>
      </c>
      <c r="E89">
        <v>22.4</v>
      </c>
      <c r="F89">
        <v>0.03</v>
      </c>
      <c r="G89">
        <v>0.784179277129304</v>
      </c>
      <c r="H89">
        <v>26.1</v>
      </c>
      <c r="I89">
        <v>479.378571583597</v>
      </c>
      <c r="J89">
        <v>105.27177845551</v>
      </c>
      <c r="K89">
        <v>90.2385625265994</v>
      </c>
      <c r="L89">
        <v>1</v>
      </c>
    </row>
    <row r="90" spans="1:12">
      <c r="A90">
        <v>1</v>
      </c>
      <c r="B90">
        <v>45</v>
      </c>
      <c r="C90">
        <v>7.9</v>
      </c>
      <c r="D90">
        <v>22.5</v>
      </c>
      <c r="E90">
        <v>22.3</v>
      </c>
      <c r="F90">
        <v>0.03</v>
      </c>
      <c r="G90">
        <v>0.93913980595102</v>
      </c>
      <c r="H90">
        <v>8.9</v>
      </c>
      <c r="I90">
        <v>168.187640939601</v>
      </c>
      <c r="J90">
        <v>52.3620870952376</v>
      </c>
      <c r="K90">
        <v>64.138592012696</v>
      </c>
      <c r="L90">
        <v>1</v>
      </c>
    </row>
    <row r="91" spans="1:12">
      <c r="A91">
        <v>1</v>
      </c>
      <c r="B91">
        <v>47.5</v>
      </c>
      <c r="C91">
        <v>7.9</v>
      </c>
      <c r="D91">
        <v>22.5</v>
      </c>
      <c r="E91">
        <v>22.4</v>
      </c>
      <c r="F91">
        <v>0.03</v>
      </c>
      <c r="G91">
        <v>0.930523923822277</v>
      </c>
      <c r="H91">
        <v>10.3</v>
      </c>
      <c r="I91">
        <v>195.898620437311</v>
      </c>
      <c r="J91">
        <v>66.5950333648152</v>
      </c>
      <c r="K91">
        <v>66.7184124179565</v>
      </c>
      <c r="L91">
        <v>1</v>
      </c>
    </row>
    <row r="92" spans="1:12">
      <c r="A92">
        <v>1</v>
      </c>
      <c r="B92">
        <v>50</v>
      </c>
      <c r="C92">
        <v>7.9</v>
      </c>
      <c r="D92">
        <v>22.5</v>
      </c>
      <c r="E92">
        <v>22.4</v>
      </c>
      <c r="F92">
        <v>0.03</v>
      </c>
      <c r="G92">
        <v>0.920818198615511</v>
      </c>
      <c r="H92">
        <v>12.4</v>
      </c>
      <c r="I92">
        <v>231.430215303027</v>
      </c>
      <c r="J92">
        <v>76.9985265295454</v>
      </c>
      <c r="K92">
        <v>72.2966747673811</v>
      </c>
      <c r="L92">
        <v>1</v>
      </c>
    </row>
    <row r="93" spans="1:12">
      <c r="A93">
        <v>1</v>
      </c>
      <c r="B93">
        <v>52.5</v>
      </c>
      <c r="C93">
        <v>7.9</v>
      </c>
      <c r="D93">
        <v>22.5</v>
      </c>
      <c r="E93">
        <v>22.4</v>
      </c>
      <c r="F93">
        <v>0.03</v>
      </c>
      <c r="G93">
        <v>0.909893599259399</v>
      </c>
      <c r="H93">
        <v>14.3</v>
      </c>
      <c r="I93">
        <v>266.705426283201</v>
      </c>
      <c r="J93">
        <v>86.0013736549472</v>
      </c>
      <c r="K93">
        <v>75.1442098596207</v>
      </c>
      <c r="L93">
        <v>1</v>
      </c>
    </row>
    <row r="94" spans="1:12">
      <c r="A94">
        <v>1</v>
      </c>
      <c r="B94">
        <v>55</v>
      </c>
      <c r="C94">
        <v>7.9</v>
      </c>
      <c r="D94">
        <v>22.7</v>
      </c>
      <c r="E94">
        <v>22.4</v>
      </c>
      <c r="F94">
        <v>0.03</v>
      </c>
      <c r="G94">
        <v>0.89760467536325</v>
      </c>
      <c r="H94">
        <v>16.4</v>
      </c>
      <c r="I94">
        <v>305.041707193264</v>
      </c>
      <c r="J94">
        <v>76.5287109138779</v>
      </c>
      <c r="K94">
        <v>77.7954765197652</v>
      </c>
      <c r="L94">
        <v>1</v>
      </c>
    </row>
    <row r="95" spans="1:12">
      <c r="A95">
        <v>1</v>
      </c>
      <c r="B95">
        <v>57.5</v>
      </c>
      <c r="C95">
        <v>7.9</v>
      </c>
      <c r="D95">
        <v>22.7</v>
      </c>
      <c r="E95">
        <v>22.4</v>
      </c>
      <c r="F95">
        <v>0.03</v>
      </c>
      <c r="G95">
        <v>0.883786850160418</v>
      </c>
      <c r="H95">
        <v>18.5</v>
      </c>
      <c r="I95">
        <v>345.686385150953</v>
      </c>
      <c r="J95">
        <v>85.1146790638463</v>
      </c>
      <c r="K95">
        <v>79.2909292476399</v>
      </c>
      <c r="L95">
        <v>1</v>
      </c>
    </row>
    <row r="96" spans="1:12">
      <c r="A96">
        <v>1</v>
      </c>
      <c r="B96">
        <v>60</v>
      </c>
      <c r="C96">
        <v>7.9</v>
      </c>
      <c r="D96">
        <v>22.7</v>
      </c>
      <c r="E96">
        <v>22.4</v>
      </c>
      <c r="F96">
        <v>0.03</v>
      </c>
      <c r="G96">
        <v>0.868253123396246</v>
      </c>
      <c r="H96">
        <v>21.2</v>
      </c>
      <c r="I96">
        <v>393.791506018293</v>
      </c>
      <c r="J96">
        <v>97.8670741254784</v>
      </c>
      <c r="K96">
        <v>82.1949522715622</v>
      </c>
      <c r="L96">
        <v>1</v>
      </c>
    </row>
    <row r="97" spans="1:12">
      <c r="A97">
        <v>1</v>
      </c>
      <c r="B97">
        <v>62.5</v>
      </c>
      <c r="C97">
        <v>7.9</v>
      </c>
      <c r="D97">
        <v>22.8</v>
      </c>
      <c r="E97">
        <v>22.4</v>
      </c>
      <c r="F97">
        <v>0.03</v>
      </c>
      <c r="G97">
        <v>0.850790029374404</v>
      </c>
      <c r="H97">
        <v>23.9</v>
      </c>
      <c r="I97">
        <v>443.821167480496</v>
      </c>
      <c r="J97">
        <v>103.969377427118</v>
      </c>
      <c r="K97">
        <v>83.9343652762806</v>
      </c>
      <c r="L97">
        <v>1</v>
      </c>
    </row>
    <row r="98" spans="1:12">
      <c r="A98">
        <v>1</v>
      </c>
      <c r="B98">
        <v>65</v>
      </c>
      <c r="C98">
        <v>7.9</v>
      </c>
      <c r="D98">
        <v>22.8</v>
      </c>
      <c r="E98">
        <v>22.4</v>
      </c>
      <c r="F98">
        <v>0.03</v>
      </c>
      <c r="G98">
        <v>0.831152647810126</v>
      </c>
      <c r="H98">
        <v>27.2</v>
      </c>
      <c r="I98">
        <v>501.8629046474</v>
      </c>
      <c r="J98">
        <v>122.141996590043</v>
      </c>
      <c r="K98">
        <v>86.6111595583053</v>
      </c>
      <c r="L98">
        <v>1</v>
      </c>
    </row>
    <row r="99" spans="1:12">
      <c r="A99">
        <v>1</v>
      </c>
      <c r="B99">
        <v>67.5</v>
      </c>
      <c r="C99">
        <v>7.9</v>
      </c>
      <c r="D99">
        <v>22.8</v>
      </c>
      <c r="E99">
        <v>22.4</v>
      </c>
      <c r="F99">
        <v>0.03</v>
      </c>
      <c r="G99">
        <v>0.809058400419842</v>
      </c>
      <c r="H99">
        <v>30.5</v>
      </c>
      <c r="I99">
        <v>562.395093594347</v>
      </c>
      <c r="J99">
        <v>142.472589118432</v>
      </c>
      <c r="K99">
        <v>88.1581527482669</v>
      </c>
      <c r="L99">
        <v>1</v>
      </c>
    </row>
    <row r="100" spans="1:12">
      <c r="A100">
        <v>1</v>
      </c>
      <c r="B100">
        <v>70</v>
      </c>
      <c r="C100">
        <v>7.9</v>
      </c>
      <c r="D100">
        <v>22.9</v>
      </c>
      <c r="E100">
        <v>22.4</v>
      </c>
      <c r="F100">
        <v>0.03</v>
      </c>
      <c r="G100">
        <v>0.784179277129304</v>
      </c>
      <c r="H100">
        <v>33</v>
      </c>
      <c r="I100">
        <v>618.092966993331</v>
      </c>
      <c r="J100">
        <v>147.911343875984</v>
      </c>
      <c r="K100">
        <v>86.6949082034621</v>
      </c>
      <c r="L100">
        <v>1</v>
      </c>
    </row>
    <row r="101" spans="1:12">
      <c r="A101">
        <v>1</v>
      </c>
      <c r="B101">
        <v>45</v>
      </c>
      <c r="C101">
        <v>10</v>
      </c>
      <c r="D101">
        <v>22.7</v>
      </c>
      <c r="E101">
        <v>22.2</v>
      </c>
      <c r="F101">
        <v>0.03</v>
      </c>
      <c r="G101">
        <v>0.93913980595102</v>
      </c>
      <c r="H101">
        <v>11.6</v>
      </c>
      <c r="I101">
        <v>215.337546501156</v>
      </c>
      <c r="J101">
        <v>62.5698653087531</v>
      </c>
      <c r="K101">
        <v>66.0626436106315</v>
      </c>
      <c r="L101">
        <v>1</v>
      </c>
    </row>
    <row r="102" spans="1:12">
      <c r="A102">
        <v>1</v>
      </c>
      <c r="B102">
        <v>47.5</v>
      </c>
      <c r="C102">
        <v>10</v>
      </c>
      <c r="D102">
        <v>22.7</v>
      </c>
      <c r="E102">
        <v>22.2</v>
      </c>
      <c r="F102">
        <v>0.03</v>
      </c>
      <c r="G102">
        <v>0.930523923822277</v>
      </c>
      <c r="H102">
        <v>13.3</v>
      </c>
      <c r="I102">
        <v>249.76142091361</v>
      </c>
      <c r="J102">
        <v>69.0221948180559</v>
      </c>
      <c r="K102">
        <v>68.0813392817161</v>
      </c>
      <c r="L102">
        <v>1</v>
      </c>
    </row>
    <row r="103" spans="1:12">
      <c r="A103">
        <v>1</v>
      </c>
      <c r="B103">
        <v>50</v>
      </c>
      <c r="C103">
        <v>10</v>
      </c>
      <c r="D103">
        <v>22.7</v>
      </c>
      <c r="E103">
        <v>22.2</v>
      </c>
      <c r="F103">
        <v>0.03</v>
      </c>
      <c r="G103">
        <v>0.920818198615511</v>
      </c>
      <c r="H103">
        <v>15.6</v>
      </c>
      <c r="I103">
        <v>291.47763499309</v>
      </c>
      <c r="J103">
        <v>79.5854304437072</v>
      </c>
      <c r="K103">
        <v>71.8767840776605</v>
      </c>
      <c r="L103">
        <v>1</v>
      </c>
    </row>
    <row r="104" spans="1:12">
      <c r="A104">
        <v>1</v>
      </c>
      <c r="B104">
        <v>52.5</v>
      </c>
      <c r="C104">
        <v>10</v>
      </c>
      <c r="D104">
        <v>22.7</v>
      </c>
      <c r="E104">
        <v>22.2</v>
      </c>
      <c r="F104">
        <v>0.03</v>
      </c>
      <c r="G104">
        <v>0.909893599259399</v>
      </c>
      <c r="H104">
        <v>18.3</v>
      </c>
      <c r="I104">
        <v>338.822953697779</v>
      </c>
      <c r="J104">
        <v>93.6345726790462</v>
      </c>
      <c r="K104">
        <v>75.9936688121127</v>
      </c>
      <c r="L104">
        <v>1</v>
      </c>
    </row>
    <row r="105" spans="1:12">
      <c r="A105">
        <v>1</v>
      </c>
      <c r="B105">
        <v>55</v>
      </c>
      <c r="C105">
        <v>10</v>
      </c>
      <c r="D105">
        <v>22.7</v>
      </c>
      <c r="E105">
        <v>22.2</v>
      </c>
      <c r="F105">
        <v>0.03</v>
      </c>
      <c r="G105">
        <v>0.89760467536325</v>
      </c>
      <c r="H105">
        <v>20.6</v>
      </c>
      <c r="I105">
        <v>384.675024928182</v>
      </c>
      <c r="J105">
        <v>105.032166329259</v>
      </c>
      <c r="K105">
        <v>77.1977795660157</v>
      </c>
      <c r="L105">
        <v>1</v>
      </c>
    </row>
    <row r="106" spans="1:12">
      <c r="A106">
        <v>1</v>
      </c>
      <c r="B106">
        <v>57.5</v>
      </c>
      <c r="C106">
        <v>10</v>
      </c>
      <c r="D106">
        <v>22.7</v>
      </c>
      <c r="E106">
        <v>22.2</v>
      </c>
      <c r="F106">
        <v>0.03</v>
      </c>
      <c r="G106">
        <v>0.883786850160418</v>
      </c>
      <c r="H106">
        <v>23.1</v>
      </c>
      <c r="I106">
        <v>434.681803461122</v>
      </c>
      <c r="J106">
        <v>118.686081816605</v>
      </c>
      <c r="K106">
        <v>78.2151442075773</v>
      </c>
      <c r="L106">
        <v>1</v>
      </c>
    </row>
    <row r="107" spans="1:12">
      <c r="A107">
        <v>1</v>
      </c>
      <c r="B107">
        <v>60</v>
      </c>
      <c r="C107">
        <v>10</v>
      </c>
      <c r="D107">
        <v>22.7</v>
      </c>
      <c r="E107">
        <v>22.2</v>
      </c>
      <c r="F107">
        <v>0.03</v>
      </c>
      <c r="G107">
        <v>0.868253123396246</v>
      </c>
      <c r="H107">
        <v>26.2</v>
      </c>
      <c r="I107">
        <v>492.678462259442</v>
      </c>
      <c r="J107">
        <v>139.554604483403</v>
      </c>
      <c r="K107">
        <v>80.2486378356979</v>
      </c>
      <c r="L107">
        <v>1</v>
      </c>
    </row>
    <row r="108" spans="1:12">
      <c r="A108">
        <v>1</v>
      </c>
      <c r="B108">
        <v>62.5</v>
      </c>
      <c r="C108">
        <v>10</v>
      </c>
      <c r="D108">
        <v>22.7</v>
      </c>
      <c r="E108">
        <v>22.2</v>
      </c>
      <c r="F108">
        <v>0.03</v>
      </c>
      <c r="G108">
        <v>0.850790029374404</v>
      </c>
      <c r="H108">
        <v>29.5</v>
      </c>
      <c r="I108">
        <v>555.218873641945</v>
      </c>
      <c r="J108">
        <v>165.632749633921</v>
      </c>
      <c r="K108">
        <v>81.8318306014218</v>
      </c>
      <c r="L108">
        <v>1</v>
      </c>
    </row>
    <row r="109" spans="1:12">
      <c r="A109">
        <v>1</v>
      </c>
      <c r="B109">
        <v>65</v>
      </c>
      <c r="C109">
        <v>10</v>
      </c>
      <c r="D109">
        <v>22.7</v>
      </c>
      <c r="E109">
        <v>22.2</v>
      </c>
      <c r="F109">
        <v>0.03</v>
      </c>
      <c r="G109">
        <v>0.831152647810126</v>
      </c>
      <c r="H109">
        <v>32.5</v>
      </c>
      <c r="I109">
        <v>617.956034531839</v>
      </c>
      <c r="J109">
        <v>190.764987398283</v>
      </c>
      <c r="K109">
        <v>81.7423129037189</v>
      </c>
      <c r="L109">
        <v>1</v>
      </c>
    </row>
    <row r="110" spans="1:12">
      <c r="A110">
        <v>1</v>
      </c>
      <c r="B110">
        <v>67.5</v>
      </c>
      <c r="C110">
        <v>10</v>
      </c>
      <c r="D110">
        <v>22.7</v>
      </c>
      <c r="E110">
        <v>22.2</v>
      </c>
      <c r="F110">
        <v>0.03</v>
      </c>
      <c r="G110">
        <v>0.809058400419842</v>
      </c>
      <c r="H110">
        <v>36.2</v>
      </c>
      <c r="I110">
        <v>690.225601738512</v>
      </c>
      <c r="J110">
        <v>232.86458903173</v>
      </c>
      <c r="K110">
        <v>82.6475708615759</v>
      </c>
      <c r="L110">
        <v>1</v>
      </c>
    </row>
    <row r="111" spans="1:12">
      <c r="A111">
        <v>1</v>
      </c>
      <c r="B111">
        <v>70</v>
      </c>
      <c r="C111">
        <v>10</v>
      </c>
      <c r="D111">
        <v>22.7</v>
      </c>
      <c r="E111">
        <v>22.2</v>
      </c>
      <c r="F111">
        <v>0.03</v>
      </c>
      <c r="G111">
        <v>0.784179277129304</v>
      </c>
      <c r="H111">
        <v>39.5</v>
      </c>
      <c r="I111">
        <v>762.233578299732</v>
      </c>
      <c r="J111">
        <v>274.541162739881</v>
      </c>
      <c r="K111">
        <v>81.9535859893458</v>
      </c>
      <c r="L111">
        <v>1</v>
      </c>
    </row>
    <row r="112" spans="1:12">
      <c r="A112">
        <v>1</v>
      </c>
      <c r="B112">
        <v>45</v>
      </c>
      <c r="C112">
        <v>5</v>
      </c>
      <c r="D112">
        <v>23.3</v>
      </c>
      <c r="E112">
        <v>23.2</v>
      </c>
      <c r="F112">
        <v>0.15</v>
      </c>
      <c r="G112">
        <v>0.93913980595102</v>
      </c>
      <c r="H112">
        <v>0.900000000000002</v>
      </c>
      <c r="I112">
        <v>94.90042659491</v>
      </c>
      <c r="J112">
        <v>24.3745095925028</v>
      </c>
      <c r="K112">
        <v>51.3055740830009</v>
      </c>
      <c r="L112">
        <v>1</v>
      </c>
    </row>
    <row r="113" spans="1:12">
      <c r="A113">
        <v>1</v>
      </c>
      <c r="B113">
        <v>47.5</v>
      </c>
      <c r="C113">
        <v>5</v>
      </c>
      <c r="D113">
        <v>23.3</v>
      </c>
      <c r="E113">
        <v>23.2</v>
      </c>
      <c r="F113">
        <v>0.15</v>
      </c>
      <c r="G113">
        <v>0.930523923822277</v>
      </c>
      <c r="H113">
        <v>1.1</v>
      </c>
      <c r="I113">
        <v>113.486279572597</v>
      </c>
      <c r="J113">
        <v>26.7588727324431</v>
      </c>
      <c r="K113">
        <v>56.3626622847164</v>
      </c>
      <c r="L113">
        <v>1</v>
      </c>
    </row>
    <row r="114" spans="1:12">
      <c r="A114">
        <v>1</v>
      </c>
      <c r="B114">
        <v>50</v>
      </c>
      <c r="C114">
        <v>5</v>
      </c>
      <c r="D114">
        <v>23.3</v>
      </c>
      <c r="E114">
        <v>23.2</v>
      </c>
      <c r="F114">
        <v>0.15</v>
      </c>
      <c r="G114">
        <v>0.920818198615511</v>
      </c>
      <c r="H114">
        <v>1.3</v>
      </c>
      <c r="I114">
        <v>132.984382459523</v>
      </c>
      <c r="J114">
        <v>29.0118704959984</v>
      </c>
      <c r="K114">
        <v>59.9553649699157</v>
      </c>
      <c r="L114">
        <v>1</v>
      </c>
    </row>
    <row r="115" spans="1:12">
      <c r="A115">
        <v>1</v>
      </c>
      <c r="B115">
        <v>52.5</v>
      </c>
      <c r="C115">
        <v>5</v>
      </c>
      <c r="D115">
        <v>23.3</v>
      </c>
      <c r="E115">
        <v>23.2</v>
      </c>
      <c r="F115">
        <v>0.15</v>
      </c>
      <c r="G115">
        <v>0.909893599259399</v>
      </c>
      <c r="H115">
        <v>1.6</v>
      </c>
      <c r="I115">
        <v>158.031912727404</v>
      </c>
      <c r="J115">
        <v>32.2019653519996</v>
      </c>
      <c r="K115">
        <v>66.5066807432451</v>
      </c>
      <c r="L115">
        <v>1</v>
      </c>
    </row>
    <row r="116" spans="1:12">
      <c r="A116">
        <v>1</v>
      </c>
      <c r="B116">
        <v>55</v>
      </c>
      <c r="C116">
        <v>5</v>
      </c>
      <c r="D116">
        <v>23.3</v>
      </c>
      <c r="E116">
        <v>23.2</v>
      </c>
      <c r="F116">
        <v>0.15</v>
      </c>
      <c r="G116">
        <v>0.89760467536325</v>
      </c>
      <c r="H116">
        <v>2</v>
      </c>
      <c r="I116">
        <v>188.713575801594</v>
      </c>
      <c r="J116">
        <v>36.199289007219</v>
      </c>
      <c r="K116">
        <v>75.0213500859063</v>
      </c>
      <c r="L116">
        <v>1</v>
      </c>
    </row>
    <row r="117" spans="1:12">
      <c r="A117">
        <v>1</v>
      </c>
      <c r="B117">
        <v>57.5</v>
      </c>
      <c r="C117">
        <v>5</v>
      </c>
      <c r="D117">
        <v>23.3</v>
      </c>
      <c r="E117">
        <v>23.2</v>
      </c>
      <c r="F117">
        <v>0.15</v>
      </c>
      <c r="G117">
        <v>0.883786850160418</v>
      </c>
      <c r="H117">
        <v>2.3</v>
      </c>
      <c r="I117">
        <v>216.004442149582</v>
      </c>
      <c r="J117">
        <v>39.0590269227634</v>
      </c>
      <c r="K117">
        <v>77.9511153751303</v>
      </c>
      <c r="L117">
        <v>1</v>
      </c>
    </row>
    <row r="118" spans="1:12">
      <c r="A118">
        <v>1</v>
      </c>
      <c r="B118">
        <v>60</v>
      </c>
      <c r="C118">
        <v>5</v>
      </c>
      <c r="D118">
        <v>23.3</v>
      </c>
      <c r="E118">
        <v>23.2</v>
      </c>
      <c r="F118">
        <v>0.15</v>
      </c>
      <c r="G118">
        <v>0.868253123396246</v>
      </c>
      <c r="H118">
        <v>2.7</v>
      </c>
      <c r="I118">
        <v>249.113819722089</v>
      </c>
      <c r="J118">
        <v>42.7294858848944</v>
      </c>
      <c r="K118">
        <v>82.7778455017055</v>
      </c>
      <c r="L118">
        <v>1</v>
      </c>
    </row>
    <row r="119" spans="1:12">
      <c r="A119">
        <v>1</v>
      </c>
      <c r="B119">
        <v>62.5</v>
      </c>
      <c r="C119">
        <v>5</v>
      </c>
      <c r="D119">
        <v>23.3</v>
      </c>
      <c r="E119">
        <v>23.2</v>
      </c>
      <c r="F119">
        <v>0.15</v>
      </c>
      <c r="G119">
        <v>0.850790029374404</v>
      </c>
      <c r="H119">
        <v>3</v>
      </c>
      <c r="I119">
        <v>279.027036321991</v>
      </c>
      <c r="J119">
        <v>45.4336396058801</v>
      </c>
      <c r="K119">
        <v>83.2978599976915</v>
      </c>
      <c r="L119">
        <v>1</v>
      </c>
    </row>
    <row r="120" spans="1:12">
      <c r="A120">
        <v>1</v>
      </c>
      <c r="B120">
        <v>65</v>
      </c>
      <c r="C120">
        <v>5</v>
      </c>
      <c r="D120">
        <v>23.4</v>
      </c>
      <c r="E120">
        <v>23.2</v>
      </c>
      <c r="F120">
        <v>0.15</v>
      </c>
      <c r="G120">
        <v>0.831152647810126</v>
      </c>
      <c r="H120">
        <v>3.4</v>
      </c>
      <c r="I120">
        <v>314.820635036515</v>
      </c>
      <c r="J120">
        <v>43.3290060660557</v>
      </c>
      <c r="K120">
        <v>85.6094302203649</v>
      </c>
      <c r="L120">
        <v>1</v>
      </c>
    </row>
    <row r="121" spans="1:12">
      <c r="A121">
        <v>1</v>
      </c>
      <c r="B121">
        <v>67.5</v>
      </c>
      <c r="C121">
        <v>5</v>
      </c>
      <c r="D121">
        <v>23.4</v>
      </c>
      <c r="E121">
        <v>23.2</v>
      </c>
      <c r="F121">
        <v>0.15</v>
      </c>
      <c r="G121">
        <v>0.809058400419842</v>
      </c>
      <c r="H121">
        <v>3.9</v>
      </c>
      <c r="I121">
        <v>356.89374985694</v>
      </c>
      <c r="J121">
        <v>47.126556312686</v>
      </c>
      <c r="K121">
        <v>89.1381011117207</v>
      </c>
      <c r="L121">
        <v>1</v>
      </c>
    </row>
    <row r="122" spans="1:12">
      <c r="A122">
        <v>1</v>
      </c>
      <c r="B122">
        <v>70</v>
      </c>
      <c r="C122">
        <v>5</v>
      </c>
      <c r="D122">
        <v>23.4</v>
      </c>
      <c r="E122">
        <v>23.2</v>
      </c>
      <c r="F122">
        <v>0.15</v>
      </c>
      <c r="G122">
        <v>0.784179277129304</v>
      </c>
      <c r="H122">
        <v>4.2</v>
      </c>
      <c r="I122">
        <v>391.545469852931</v>
      </c>
      <c r="J122">
        <v>49.5091900953193</v>
      </c>
      <c r="K122">
        <v>87.2359587946335</v>
      </c>
      <c r="L122">
        <v>1</v>
      </c>
    </row>
    <row r="123" spans="1:12">
      <c r="A123">
        <v>1</v>
      </c>
      <c r="B123">
        <v>45</v>
      </c>
      <c r="C123">
        <v>6.4</v>
      </c>
      <c r="D123">
        <v>23.6</v>
      </c>
      <c r="E123">
        <v>23.5</v>
      </c>
      <c r="F123">
        <v>0.15</v>
      </c>
      <c r="G123">
        <v>0.93913980595102</v>
      </c>
      <c r="H123">
        <v>1</v>
      </c>
      <c r="I123">
        <v>113.94732370888</v>
      </c>
      <c r="J123">
        <v>29.732487313651</v>
      </c>
      <c r="K123">
        <v>44.557822437468</v>
      </c>
      <c r="L123">
        <v>1</v>
      </c>
    </row>
    <row r="124" spans="1:12">
      <c r="A124">
        <v>1</v>
      </c>
      <c r="B124">
        <v>47.5</v>
      </c>
      <c r="C124">
        <v>6.4</v>
      </c>
      <c r="D124">
        <v>23.6</v>
      </c>
      <c r="E124">
        <v>23.5</v>
      </c>
      <c r="F124">
        <v>0.15</v>
      </c>
      <c r="G124">
        <v>0.930523923822277</v>
      </c>
      <c r="H124">
        <v>1.6</v>
      </c>
      <c r="I124">
        <v>153.418787347729</v>
      </c>
      <c r="J124">
        <v>37.23085985788</v>
      </c>
      <c r="K124">
        <v>64.0796092387776</v>
      </c>
      <c r="L124">
        <v>1</v>
      </c>
    </row>
    <row r="125" spans="1:12">
      <c r="A125">
        <v>1</v>
      </c>
      <c r="B125">
        <v>50</v>
      </c>
      <c r="C125">
        <v>6.4</v>
      </c>
      <c r="D125">
        <v>23.6</v>
      </c>
      <c r="E125">
        <v>23.5</v>
      </c>
      <c r="F125">
        <v>0.15</v>
      </c>
      <c r="G125">
        <v>0.920818198615511</v>
      </c>
      <c r="H125">
        <v>2</v>
      </c>
      <c r="I125">
        <v>184.943653919854</v>
      </c>
      <c r="J125">
        <v>41.6976555169973</v>
      </c>
      <c r="K125">
        <v>72.096619498215</v>
      </c>
      <c r="L125">
        <v>1</v>
      </c>
    </row>
    <row r="126" spans="1:12">
      <c r="A126">
        <v>1</v>
      </c>
      <c r="B126">
        <v>52.5</v>
      </c>
      <c r="C126">
        <v>6.4</v>
      </c>
      <c r="D126">
        <v>23.6</v>
      </c>
      <c r="E126">
        <v>23.5</v>
      </c>
      <c r="F126">
        <v>0.15</v>
      </c>
      <c r="G126">
        <v>0.909893599259399</v>
      </c>
      <c r="H126">
        <v>2.3</v>
      </c>
      <c r="I126">
        <v>213.181499052829</v>
      </c>
      <c r="J126">
        <v>44.7781219766418</v>
      </c>
      <c r="K126">
        <v>74.7261297862744</v>
      </c>
      <c r="L126">
        <v>1</v>
      </c>
    </row>
    <row r="127" spans="1:12">
      <c r="A127">
        <v>1</v>
      </c>
      <c r="B127">
        <v>55</v>
      </c>
      <c r="C127">
        <v>6.4</v>
      </c>
      <c r="D127">
        <v>23.6</v>
      </c>
      <c r="E127">
        <v>23.5</v>
      </c>
      <c r="F127">
        <v>0.15</v>
      </c>
      <c r="G127">
        <v>0.89760467536325</v>
      </c>
      <c r="H127">
        <v>2.6</v>
      </c>
      <c r="I127">
        <v>242.798069583318</v>
      </c>
      <c r="J127">
        <v>47.7707451843433</v>
      </c>
      <c r="K127">
        <v>76.2301463361899</v>
      </c>
      <c r="L127">
        <v>1</v>
      </c>
    </row>
    <row r="128" spans="1:12">
      <c r="A128">
        <v>1</v>
      </c>
      <c r="B128">
        <v>57.5</v>
      </c>
      <c r="C128">
        <v>6.4</v>
      </c>
      <c r="D128">
        <v>23.6</v>
      </c>
      <c r="E128">
        <v>23.5</v>
      </c>
      <c r="F128">
        <v>0.15</v>
      </c>
      <c r="G128">
        <v>0.883786850160418</v>
      </c>
      <c r="H128">
        <v>3</v>
      </c>
      <c r="I128">
        <v>278.465448443498</v>
      </c>
      <c r="J128">
        <v>51.6969960306178</v>
      </c>
      <c r="K128">
        <v>79.4718727661422</v>
      </c>
      <c r="L128">
        <v>1</v>
      </c>
    </row>
    <row r="129" spans="1:12">
      <c r="A129">
        <v>1</v>
      </c>
      <c r="B129">
        <v>60</v>
      </c>
      <c r="C129">
        <v>6.4</v>
      </c>
      <c r="D129">
        <v>23.6</v>
      </c>
      <c r="E129">
        <v>23.4</v>
      </c>
      <c r="F129">
        <v>0.15</v>
      </c>
      <c r="G129">
        <v>0.868253123396246</v>
      </c>
      <c r="H129">
        <v>3.4</v>
      </c>
      <c r="I129">
        <v>315.747628130826</v>
      </c>
      <c r="J129">
        <v>48.9120611881007</v>
      </c>
      <c r="K129">
        <v>81.4753326362313</v>
      </c>
      <c r="L129">
        <v>1</v>
      </c>
    </row>
    <row r="130" spans="1:12">
      <c r="A130">
        <v>1</v>
      </c>
      <c r="B130">
        <v>62.5</v>
      </c>
      <c r="C130">
        <v>6.4</v>
      </c>
      <c r="D130">
        <v>23.6</v>
      </c>
      <c r="E130">
        <v>23.4</v>
      </c>
      <c r="F130">
        <v>0.15</v>
      </c>
      <c r="G130">
        <v>0.850790029374404</v>
      </c>
      <c r="H130">
        <v>3.7</v>
      </c>
      <c r="I130">
        <v>350.215242217146</v>
      </c>
      <c r="J130">
        <v>51.4990492143624</v>
      </c>
      <c r="K130">
        <v>80.2990424588908</v>
      </c>
      <c r="L130">
        <v>1</v>
      </c>
    </row>
    <row r="131" spans="1:12">
      <c r="A131">
        <v>1</v>
      </c>
      <c r="B131">
        <v>65</v>
      </c>
      <c r="C131">
        <v>6.4</v>
      </c>
      <c r="D131">
        <v>23.6</v>
      </c>
      <c r="E131">
        <v>23.4</v>
      </c>
      <c r="F131">
        <v>0.15</v>
      </c>
      <c r="G131">
        <v>0.831152647810126</v>
      </c>
      <c r="H131">
        <v>4.2</v>
      </c>
      <c r="I131">
        <v>395.674871062801</v>
      </c>
      <c r="J131">
        <v>55.6402749325119</v>
      </c>
      <c r="K131">
        <v>82.645423057143</v>
      </c>
      <c r="L131">
        <v>1</v>
      </c>
    </row>
    <row r="132" spans="1:12">
      <c r="A132">
        <v>1</v>
      </c>
      <c r="B132">
        <v>67.5</v>
      </c>
      <c r="C132">
        <v>6.4</v>
      </c>
      <c r="D132">
        <v>23.6</v>
      </c>
      <c r="E132">
        <v>23.4</v>
      </c>
      <c r="F132">
        <v>0.15</v>
      </c>
      <c r="G132">
        <v>0.809058400419842</v>
      </c>
      <c r="H132">
        <v>4.9</v>
      </c>
      <c r="I132">
        <v>452.26812961279</v>
      </c>
      <c r="J132">
        <v>61.2082832003084</v>
      </c>
      <c r="K132">
        <v>87.522787678501</v>
      </c>
      <c r="L132">
        <v>1</v>
      </c>
    </row>
    <row r="133" spans="1:12">
      <c r="A133">
        <v>1</v>
      </c>
      <c r="B133">
        <v>70</v>
      </c>
      <c r="C133">
        <v>6.4</v>
      </c>
      <c r="D133">
        <v>23.6</v>
      </c>
      <c r="E133">
        <v>23.4</v>
      </c>
      <c r="F133">
        <v>0.15</v>
      </c>
      <c r="G133">
        <v>0.784179277129304</v>
      </c>
      <c r="H133">
        <v>5.5</v>
      </c>
      <c r="I133">
        <v>506.471786864981</v>
      </c>
      <c r="J133">
        <v>65.9459209941499</v>
      </c>
      <c r="K133">
        <v>89.2759943773475</v>
      </c>
      <c r="L133">
        <v>1</v>
      </c>
    </row>
    <row r="134" spans="1:12">
      <c r="A134">
        <v>1</v>
      </c>
      <c r="B134">
        <v>45</v>
      </c>
      <c r="C134">
        <v>8.6</v>
      </c>
      <c r="D134">
        <v>22.5</v>
      </c>
      <c r="E134">
        <v>22.2</v>
      </c>
      <c r="F134">
        <v>0.15</v>
      </c>
      <c r="G134">
        <v>0.93913980595102</v>
      </c>
      <c r="H134">
        <v>1.9</v>
      </c>
      <c r="I134">
        <v>181.371263659987</v>
      </c>
      <c r="J134">
        <v>37.3635541312993</v>
      </c>
      <c r="K134">
        <v>62.8900095447196</v>
      </c>
      <c r="L134">
        <v>1</v>
      </c>
    </row>
    <row r="135" spans="1:12">
      <c r="A135">
        <v>1</v>
      </c>
      <c r="B135">
        <v>47.5</v>
      </c>
      <c r="C135">
        <v>8.6</v>
      </c>
      <c r="D135">
        <v>22.5</v>
      </c>
      <c r="E135">
        <v>22.2</v>
      </c>
      <c r="F135">
        <v>0.15</v>
      </c>
      <c r="G135">
        <v>0.930523923822277</v>
      </c>
      <c r="H135">
        <v>2.2</v>
      </c>
      <c r="I135">
        <v>211.318434906439</v>
      </c>
      <c r="J135">
        <v>40.2599194422906</v>
      </c>
      <c r="K135">
        <v>65.4530372445294</v>
      </c>
      <c r="L135">
        <v>1</v>
      </c>
    </row>
    <row r="136" spans="1:12">
      <c r="A136">
        <v>1</v>
      </c>
      <c r="B136">
        <v>50</v>
      </c>
      <c r="C136">
        <v>8.6</v>
      </c>
      <c r="D136">
        <v>22.5</v>
      </c>
      <c r="E136">
        <v>22.2</v>
      </c>
      <c r="F136">
        <v>0.15</v>
      </c>
      <c r="G136">
        <v>0.920818198615511</v>
      </c>
      <c r="H136">
        <v>2.7</v>
      </c>
      <c r="I136">
        <v>251.948227523971</v>
      </c>
      <c r="J136">
        <v>44.97317158933</v>
      </c>
      <c r="K136">
        <v>72.3034542755176</v>
      </c>
      <c r="L136">
        <v>1</v>
      </c>
    </row>
    <row r="137" spans="1:12">
      <c r="A137">
        <v>1</v>
      </c>
      <c r="B137">
        <v>52.5</v>
      </c>
      <c r="C137">
        <v>8.6</v>
      </c>
      <c r="D137">
        <v>22.5</v>
      </c>
      <c r="E137">
        <v>22.2</v>
      </c>
      <c r="F137">
        <v>0.15</v>
      </c>
      <c r="G137">
        <v>0.909893599259399</v>
      </c>
      <c r="H137">
        <v>3.1</v>
      </c>
      <c r="I137">
        <v>289.726067958084</v>
      </c>
      <c r="J137">
        <v>48.544623487472</v>
      </c>
      <c r="K137">
        <v>74.8203650781473</v>
      </c>
      <c r="L137">
        <v>1</v>
      </c>
    </row>
    <row r="138" spans="1:12">
      <c r="A138">
        <v>1</v>
      </c>
      <c r="B138">
        <v>55</v>
      </c>
      <c r="C138">
        <v>8.6</v>
      </c>
      <c r="D138">
        <v>22.5</v>
      </c>
      <c r="E138">
        <v>22.2</v>
      </c>
      <c r="F138">
        <v>0.15</v>
      </c>
      <c r="G138">
        <v>0.89760467536325</v>
      </c>
      <c r="H138">
        <v>3.5999999999999</v>
      </c>
      <c r="I138">
        <v>333.912123574756</v>
      </c>
      <c r="J138">
        <v>52.8960884024906</v>
      </c>
      <c r="K138">
        <v>78.4101809693746</v>
      </c>
      <c r="L138">
        <v>1</v>
      </c>
    </row>
    <row r="139" spans="1:12">
      <c r="A139">
        <v>1</v>
      </c>
      <c r="B139">
        <v>57.5</v>
      </c>
      <c r="C139">
        <v>8.6</v>
      </c>
      <c r="D139">
        <v>22.6</v>
      </c>
      <c r="E139">
        <v>22.2</v>
      </c>
      <c r="F139">
        <v>0.15</v>
      </c>
      <c r="G139">
        <v>0.883786850160418</v>
      </c>
      <c r="H139">
        <v>3.8999999999999</v>
      </c>
      <c r="I139">
        <v>370.739927532577</v>
      </c>
      <c r="J139">
        <v>52.1798344506941</v>
      </c>
      <c r="K139">
        <v>76.7619008658578</v>
      </c>
      <c r="L139">
        <v>1</v>
      </c>
    </row>
    <row r="140" spans="1:12">
      <c r="A140">
        <v>1</v>
      </c>
      <c r="B140">
        <v>60</v>
      </c>
      <c r="C140">
        <v>8.6</v>
      </c>
      <c r="D140">
        <v>22.6</v>
      </c>
      <c r="E140">
        <v>22.2</v>
      </c>
      <c r="F140">
        <v>0.15</v>
      </c>
      <c r="G140">
        <v>0.868253123396246</v>
      </c>
      <c r="H140">
        <v>4.5999999999999</v>
      </c>
      <c r="I140">
        <v>428.215990655956</v>
      </c>
      <c r="J140">
        <v>57.6895795249507</v>
      </c>
      <c r="K140">
        <v>81.9024188842109</v>
      </c>
      <c r="L140">
        <v>1</v>
      </c>
    </row>
    <row r="141" spans="1:12">
      <c r="A141">
        <v>1</v>
      </c>
      <c r="B141">
        <v>62.5</v>
      </c>
      <c r="C141">
        <v>8.6</v>
      </c>
      <c r="D141">
        <v>22.6</v>
      </c>
      <c r="E141">
        <v>22.2</v>
      </c>
      <c r="F141">
        <v>0.15</v>
      </c>
      <c r="G141">
        <v>0.850790029374404</v>
      </c>
      <c r="H141">
        <v>5.3</v>
      </c>
      <c r="I141">
        <v>488.031776103965</v>
      </c>
      <c r="J141">
        <v>63.072307006376</v>
      </c>
      <c r="K141">
        <v>85.4631531650937</v>
      </c>
      <c r="L141">
        <v>1</v>
      </c>
    </row>
    <row r="142" spans="1:12">
      <c r="A142">
        <v>1</v>
      </c>
      <c r="B142">
        <v>65</v>
      </c>
      <c r="C142">
        <v>8.6</v>
      </c>
      <c r="D142">
        <v>22.6</v>
      </c>
      <c r="E142">
        <v>22.2</v>
      </c>
      <c r="F142">
        <v>0.15</v>
      </c>
      <c r="G142">
        <v>0.831152647810126</v>
      </c>
      <c r="H142">
        <v>5.9</v>
      </c>
      <c r="I142">
        <v>545.810823243858</v>
      </c>
      <c r="J142">
        <v>67.6581456386198</v>
      </c>
      <c r="K142">
        <v>86.261823712161</v>
      </c>
      <c r="L142">
        <v>1</v>
      </c>
    </row>
    <row r="143" spans="1:12">
      <c r="A143">
        <v>1</v>
      </c>
      <c r="B143">
        <v>67.5</v>
      </c>
      <c r="C143">
        <v>8.6</v>
      </c>
      <c r="D143">
        <v>22.7</v>
      </c>
      <c r="E143">
        <v>22.2</v>
      </c>
      <c r="F143">
        <v>0.15</v>
      </c>
      <c r="G143">
        <v>0.809058400419842</v>
      </c>
      <c r="H143">
        <v>6.7</v>
      </c>
      <c r="I143">
        <v>615.177350828453</v>
      </c>
      <c r="J143">
        <v>70.1786483889342</v>
      </c>
      <c r="K143">
        <v>88.9340107883462</v>
      </c>
      <c r="L143">
        <v>1</v>
      </c>
    </row>
    <row r="144" spans="1:12">
      <c r="A144">
        <v>1</v>
      </c>
      <c r="B144">
        <v>70</v>
      </c>
      <c r="C144">
        <v>8.6</v>
      </c>
      <c r="D144">
        <v>22.7</v>
      </c>
      <c r="E144">
        <v>22.2</v>
      </c>
      <c r="F144">
        <v>0.15</v>
      </c>
      <c r="G144">
        <v>0.784179277129304</v>
      </c>
      <c r="H144">
        <v>7.5</v>
      </c>
      <c r="I144">
        <v>687.695356504436</v>
      </c>
      <c r="J144">
        <v>75.8451718254346</v>
      </c>
      <c r="K144">
        <v>90.4698108507644</v>
      </c>
      <c r="L144">
        <v>1</v>
      </c>
    </row>
    <row r="145" spans="1:12">
      <c r="A145">
        <v>0</v>
      </c>
      <c r="B145">
        <v>45</v>
      </c>
      <c r="C145">
        <v>4.5</v>
      </c>
      <c r="D145">
        <v>36</v>
      </c>
      <c r="E145">
        <v>20.4</v>
      </c>
      <c r="F145">
        <v>2.5</v>
      </c>
      <c r="G145">
        <v>0.93913980595102</v>
      </c>
      <c r="H145">
        <v>10.9</v>
      </c>
      <c r="I145">
        <v>33.8231783442324</v>
      </c>
      <c r="J145">
        <v>2.31199370599375</v>
      </c>
      <c r="K145">
        <v>11.669992740061</v>
      </c>
      <c r="L145">
        <v>1</v>
      </c>
    </row>
    <row r="146" spans="1:12">
      <c r="A146">
        <v>0</v>
      </c>
      <c r="B146">
        <v>47.5</v>
      </c>
      <c r="C146">
        <v>4.5</v>
      </c>
      <c r="D146">
        <v>38.6</v>
      </c>
      <c r="E146">
        <v>20.4</v>
      </c>
      <c r="F146">
        <v>2.5</v>
      </c>
      <c r="G146">
        <v>0.930523923822277</v>
      </c>
      <c r="H146">
        <v>12.6</v>
      </c>
      <c r="I146">
        <v>36.7132276021732</v>
      </c>
      <c r="J146">
        <v>2.25511441756215</v>
      </c>
      <c r="K146">
        <v>11.0796974509486</v>
      </c>
      <c r="L146">
        <v>1</v>
      </c>
    </row>
    <row r="147" spans="1:12">
      <c r="A147">
        <v>0</v>
      </c>
      <c r="B147">
        <v>50</v>
      </c>
      <c r="C147">
        <v>4.5</v>
      </c>
      <c r="D147">
        <v>41.5</v>
      </c>
      <c r="E147">
        <v>20.4</v>
      </c>
      <c r="F147">
        <v>2.5</v>
      </c>
      <c r="G147">
        <v>0.920818198615511</v>
      </c>
      <c r="H147">
        <v>14.6</v>
      </c>
      <c r="I147">
        <v>39.0448998509012</v>
      </c>
      <c r="J147">
        <v>2.18410026072539</v>
      </c>
      <c r="K147">
        <v>10.5560488609496</v>
      </c>
      <c r="L147">
        <v>1</v>
      </c>
    </row>
    <row r="148" spans="1:12">
      <c r="A148">
        <v>0</v>
      </c>
      <c r="B148">
        <v>52.5</v>
      </c>
      <c r="C148">
        <v>4.5</v>
      </c>
      <c r="D148">
        <v>44.6</v>
      </c>
      <c r="E148">
        <v>20.4</v>
      </c>
      <c r="F148">
        <v>2.5</v>
      </c>
      <c r="G148">
        <v>0.909893599259399</v>
      </c>
      <c r="H148">
        <v>18</v>
      </c>
      <c r="I148">
        <v>41.0529481217829</v>
      </c>
      <c r="J148">
        <v>2.19563293750024</v>
      </c>
      <c r="K148">
        <v>10.2894069657303</v>
      </c>
      <c r="L148">
        <v>1</v>
      </c>
    </row>
    <row r="149" spans="1:12">
      <c r="A149">
        <v>0</v>
      </c>
      <c r="B149">
        <v>55</v>
      </c>
      <c r="C149">
        <v>4.5</v>
      </c>
      <c r="D149">
        <v>46.632</v>
      </c>
      <c r="E149">
        <v>20.4</v>
      </c>
      <c r="F149">
        <v>2.5</v>
      </c>
      <c r="G149">
        <v>0.89760467536325</v>
      </c>
      <c r="H149">
        <v>20.3</v>
      </c>
      <c r="I149">
        <v>46.5408449911386</v>
      </c>
      <c r="J149">
        <v>2.36651733568519</v>
      </c>
      <c r="K149">
        <v>9.70007981312605</v>
      </c>
      <c r="L149">
        <v>1</v>
      </c>
    </row>
    <row r="150" spans="1:12">
      <c r="A150">
        <v>0</v>
      </c>
      <c r="B150">
        <v>57.5</v>
      </c>
      <c r="C150">
        <v>4.5</v>
      </c>
      <c r="D150">
        <v>49.335</v>
      </c>
      <c r="E150">
        <v>20.4</v>
      </c>
      <c r="F150">
        <v>2.5</v>
      </c>
      <c r="G150">
        <v>0.883786850160418</v>
      </c>
      <c r="H150">
        <v>22.8</v>
      </c>
      <c r="I150">
        <v>50.146733895906</v>
      </c>
      <c r="J150">
        <v>2.41496664313804</v>
      </c>
      <c r="K150">
        <v>9.13738926226355</v>
      </c>
      <c r="L150">
        <v>1</v>
      </c>
    </row>
    <row r="151" spans="1:12">
      <c r="A151">
        <v>0</v>
      </c>
      <c r="B151">
        <v>60</v>
      </c>
      <c r="C151">
        <v>4.5</v>
      </c>
      <c r="D151">
        <v>52.212</v>
      </c>
      <c r="E151">
        <v>22.3</v>
      </c>
      <c r="F151">
        <v>2.5</v>
      </c>
      <c r="G151">
        <v>0.868253123396246</v>
      </c>
      <c r="H151">
        <v>22.2</v>
      </c>
      <c r="I151">
        <v>52.4883625609087</v>
      </c>
      <c r="J151">
        <v>2.39431614557164</v>
      </c>
      <c r="K151">
        <v>7.96596414812436</v>
      </c>
      <c r="L151">
        <v>1</v>
      </c>
    </row>
    <row r="152" spans="1:12">
      <c r="A152">
        <v>0</v>
      </c>
      <c r="B152">
        <v>62.5</v>
      </c>
      <c r="C152">
        <v>4.5</v>
      </c>
      <c r="D152">
        <v>55.031</v>
      </c>
      <c r="E152">
        <v>22.3</v>
      </c>
      <c r="F152">
        <v>2.5</v>
      </c>
      <c r="G152">
        <v>0.850790029374404</v>
      </c>
      <c r="H152">
        <v>24</v>
      </c>
      <c r="I152">
        <v>55.9719977061725</v>
      </c>
      <c r="J152">
        <v>2.38132865533467</v>
      </c>
      <c r="K152">
        <v>7.41992778442958</v>
      </c>
      <c r="L152">
        <v>1</v>
      </c>
    </row>
    <row r="153" spans="1:12">
      <c r="A153">
        <v>0</v>
      </c>
      <c r="B153">
        <v>65</v>
      </c>
      <c r="C153">
        <v>4.5</v>
      </c>
      <c r="D153">
        <v>57.456</v>
      </c>
      <c r="E153">
        <v>22.3</v>
      </c>
      <c r="F153">
        <v>2.5</v>
      </c>
      <c r="G153">
        <v>0.831152647810126</v>
      </c>
      <c r="H153">
        <v>25</v>
      </c>
      <c r="I153">
        <v>61.7797318887707</v>
      </c>
      <c r="J153">
        <v>2.428686197182</v>
      </c>
      <c r="K153">
        <v>6.83735781086486</v>
      </c>
      <c r="L153">
        <v>1</v>
      </c>
    </row>
    <row r="154" spans="1:12">
      <c r="A154">
        <v>0</v>
      </c>
      <c r="B154">
        <v>67.5</v>
      </c>
      <c r="C154">
        <v>4.5</v>
      </c>
      <c r="D154">
        <v>61.161</v>
      </c>
      <c r="E154">
        <v>22.3</v>
      </c>
      <c r="F154">
        <v>2.5</v>
      </c>
      <c r="G154">
        <v>0.809058400419842</v>
      </c>
      <c r="H154">
        <v>26</v>
      </c>
      <c r="I154">
        <v>60.4431531476237</v>
      </c>
      <c r="J154">
        <v>2.16760656622028</v>
      </c>
      <c r="K154">
        <v>6.31810261052094</v>
      </c>
      <c r="L154">
        <v>1</v>
      </c>
    </row>
    <row r="155" spans="1:12">
      <c r="A155">
        <v>0</v>
      </c>
      <c r="B155">
        <v>70</v>
      </c>
      <c r="C155">
        <v>4.5</v>
      </c>
      <c r="D155">
        <v>64.68</v>
      </c>
      <c r="E155">
        <v>22.4</v>
      </c>
      <c r="F155">
        <v>2.5</v>
      </c>
      <c r="G155">
        <v>0.784179277129304</v>
      </c>
      <c r="H155">
        <v>26.8</v>
      </c>
      <c r="I155">
        <v>59.1021269675123</v>
      </c>
      <c r="J155">
        <v>1.95180419874268</v>
      </c>
      <c r="K155">
        <v>5.81776486085909</v>
      </c>
      <c r="L155">
        <v>1</v>
      </c>
    </row>
    <row r="156" spans="1:12">
      <c r="A156">
        <v>0</v>
      </c>
      <c r="B156">
        <v>45</v>
      </c>
      <c r="C156">
        <v>5.7</v>
      </c>
      <c r="D156">
        <v>37.824</v>
      </c>
      <c r="E156">
        <v>22.4</v>
      </c>
      <c r="F156">
        <v>2.5</v>
      </c>
      <c r="G156">
        <v>0.93913980595102</v>
      </c>
      <c r="H156">
        <v>13.6</v>
      </c>
      <c r="I156">
        <v>35.5455094251256</v>
      </c>
      <c r="J156">
        <v>2.98075523560178</v>
      </c>
      <c r="K156">
        <v>9.75473746977074</v>
      </c>
      <c r="L156">
        <v>1</v>
      </c>
    </row>
    <row r="157" spans="1:12">
      <c r="A157">
        <v>0</v>
      </c>
      <c r="B157">
        <v>47.5</v>
      </c>
      <c r="C157">
        <v>5.7</v>
      </c>
      <c r="D157">
        <v>41.055</v>
      </c>
      <c r="E157">
        <v>22.4</v>
      </c>
      <c r="F157">
        <v>2.5</v>
      </c>
      <c r="G157">
        <v>0.930523923822277</v>
      </c>
      <c r="H157">
        <v>15.8</v>
      </c>
      <c r="I157">
        <v>36.2634385676425</v>
      </c>
      <c r="J157">
        <v>2.69834019994281</v>
      </c>
      <c r="K157">
        <v>9.26119244094328</v>
      </c>
      <c r="L157">
        <v>1</v>
      </c>
    </row>
    <row r="158" spans="1:12">
      <c r="A158">
        <v>0</v>
      </c>
      <c r="B158">
        <v>50</v>
      </c>
      <c r="C158">
        <v>5.7</v>
      </c>
      <c r="D158">
        <v>43.3008</v>
      </c>
      <c r="E158">
        <v>22.3</v>
      </c>
      <c r="F158">
        <v>2.5</v>
      </c>
      <c r="G158">
        <v>0.920818198615511</v>
      </c>
      <c r="H158">
        <v>18.1</v>
      </c>
      <c r="I158">
        <v>40.6405329040815</v>
      </c>
      <c r="J158">
        <v>2.79044495684865</v>
      </c>
      <c r="K158">
        <v>8.75735317810145</v>
      </c>
      <c r="L158">
        <v>1</v>
      </c>
    </row>
    <row r="159" spans="1:12">
      <c r="A159">
        <v>0</v>
      </c>
      <c r="B159">
        <v>52.5</v>
      </c>
      <c r="C159">
        <v>5.7</v>
      </c>
      <c r="D159">
        <v>44.4675</v>
      </c>
      <c r="E159">
        <v>22.2</v>
      </c>
      <c r="F159">
        <v>2.5</v>
      </c>
      <c r="G159">
        <v>0.909893599259399</v>
      </c>
      <c r="H159">
        <v>19.3</v>
      </c>
      <c r="I159">
        <v>49.8812336096783</v>
      </c>
      <c r="J159">
        <v>3.12206693634235</v>
      </c>
      <c r="K159">
        <v>8.08383056664566</v>
      </c>
      <c r="L159">
        <v>1</v>
      </c>
    </row>
    <row r="160" spans="1:12">
      <c r="A160">
        <v>0</v>
      </c>
      <c r="B160">
        <v>55</v>
      </c>
      <c r="C160">
        <v>5.7</v>
      </c>
      <c r="D160">
        <v>46.1838</v>
      </c>
      <c r="E160">
        <v>22.2</v>
      </c>
      <c r="F160">
        <v>2.5</v>
      </c>
      <c r="G160">
        <v>0.89760467536325</v>
      </c>
      <c r="H160">
        <v>21.3</v>
      </c>
      <c r="I160">
        <v>58.0511134258079</v>
      </c>
      <c r="J160">
        <v>3.41798177407221</v>
      </c>
      <c r="K160">
        <v>7.54311490839026</v>
      </c>
      <c r="L160">
        <v>1</v>
      </c>
    </row>
    <row r="161" spans="1:12">
      <c r="A161">
        <v>0</v>
      </c>
      <c r="B161">
        <v>57.5</v>
      </c>
      <c r="C161">
        <v>5.7</v>
      </c>
      <c r="D161">
        <v>49.6869</v>
      </c>
      <c r="E161">
        <v>22.2</v>
      </c>
      <c r="F161">
        <v>2.5</v>
      </c>
      <c r="G161">
        <v>0.883786850160418</v>
      </c>
      <c r="H161">
        <v>23.5</v>
      </c>
      <c r="I161">
        <v>58.7005026835845</v>
      </c>
      <c r="J161">
        <v>3.16427922938355</v>
      </c>
      <c r="K161">
        <v>7.06197446208194</v>
      </c>
      <c r="L161">
        <v>1</v>
      </c>
    </row>
    <row r="162" spans="1:12">
      <c r="A162">
        <v>0</v>
      </c>
      <c r="B162">
        <v>60</v>
      </c>
      <c r="C162">
        <v>5.7</v>
      </c>
      <c r="D162">
        <v>52.452</v>
      </c>
      <c r="E162">
        <v>22.3</v>
      </c>
      <c r="F162">
        <v>2.5</v>
      </c>
      <c r="G162">
        <v>0.868253123396246</v>
      </c>
      <c r="H162">
        <v>25.2</v>
      </c>
      <c r="I162">
        <v>62.8306741529656</v>
      </c>
      <c r="J162">
        <v>3.13413943447274</v>
      </c>
      <c r="K162">
        <v>6.54312169439371</v>
      </c>
      <c r="L162">
        <v>1</v>
      </c>
    </row>
    <row r="163" spans="1:12">
      <c r="A163">
        <v>0</v>
      </c>
      <c r="B163">
        <v>62.5</v>
      </c>
      <c r="C163">
        <v>5.7</v>
      </c>
      <c r="D163">
        <v>55.3905</v>
      </c>
      <c r="E163">
        <v>22.3</v>
      </c>
      <c r="F163">
        <v>2.5</v>
      </c>
      <c r="G163">
        <v>0.850790029374404</v>
      </c>
      <c r="H163">
        <v>27.6</v>
      </c>
      <c r="I163">
        <v>66.3276854428232</v>
      </c>
      <c r="J163">
        <v>3.12548049523887</v>
      </c>
      <c r="K163">
        <v>6.13276892430837</v>
      </c>
      <c r="L163">
        <v>1</v>
      </c>
    </row>
    <row r="164" spans="1:12">
      <c r="A164">
        <v>0</v>
      </c>
      <c r="B164">
        <v>65</v>
      </c>
      <c r="C164">
        <v>5.7</v>
      </c>
      <c r="D164">
        <v>58.83</v>
      </c>
      <c r="E164">
        <v>22.3</v>
      </c>
      <c r="F164">
        <v>2.5</v>
      </c>
      <c r="G164">
        <v>0.831152647810126</v>
      </c>
      <c r="H164">
        <v>29.9</v>
      </c>
      <c r="I164">
        <v>63.7204508778057</v>
      </c>
      <c r="J164">
        <v>2.81596775707135</v>
      </c>
      <c r="K164">
        <v>4.44464310119026</v>
      </c>
      <c r="L164">
        <v>1</v>
      </c>
    </row>
    <row r="165" spans="1:12">
      <c r="A165">
        <v>0</v>
      </c>
      <c r="B165">
        <v>67.5</v>
      </c>
      <c r="C165">
        <v>5.7</v>
      </c>
      <c r="D165">
        <v>62.2065</v>
      </c>
      <c r="E165">
        <v>22.3</v>
      </c>
      <c r="F165">
        <v>2.5</v>
      </c>
      <c r="G165">
        <v>0.809058400419842</v>
      </c>
      <c r="H165">
        <v>32.3</v>
      </c>
      <c r="I165">
        <v>63.3210622769881</v>
      </c>
      <c r="J165">
        <v>2.6478525378494</v>
      </c>
      <c r="K165">
        <v>4.25324704258248</v>
      </c>
      <c r="L165">
        <v>1</v>
      </c>
    </row>
    <row r="166" spans="1:12">
      <c r="A166">
        <v>0</v>
      </c>
      <c r="B166">
        <v>70</v>
      </c>
      <c r="C166">
        <v>5.7</v>
      </c>
      <c r="D166">
        <v>65.1924</v>
      </c>
      <c r="E166">
        <v>22.2</v>
      </c>
      <c r="F166">
        <v>2.5</v>
      </c>
      <c r="G166">
        <v>0.784179277129304</v>
      </c>
      <c r="H166">
        <v>34.8</v>
      </c>
      <c r="I166">
        <v>65.8784732044702</v>
      </c>
      <c r="J166">
        <v>2.62718318159925</v>
      </c>
      <c r="K166">
        <v>4.13296795640493</v>
      </c>
      <c r="L166">
        <v>1</v>
      </c>
    </row>
    <row r="167" spans="1:12">
      <c r="A167">
        <v>0</v>
      </c>
      <c r="B167">
        <v>45</v>
      </c>
      <c r="C167">
        <v>6.5</v>
      </c>
      <c r="D167">
        <v>38</v>
      </c>
      <c r="E167">
        <v>22.2</v>
      </c>
      <c r="F167">
        <v>2.5</v>
      </c>
      <c r="G167">
        <v>0.93913980595102</v>
      </c>
      <c r="H167">
        <v>14.6</v>
      </c>
      <c r="I167">
        <v>36.292836456436</v>
      </c>
      <c r="J167">
        <v>3.13205166163456</v>
      </c>
      <c r="K167">
        <v>6.20824051560482</v>
      </c>
      <c r="L167">
        <v>1</v>
      </c>
    </row>
    <row r="168" spans="1:12">
      <c r="A168">
        <v>0</v>
      </c>
      <c r="B168">
        <v>47.5</v>
      </c>
      <c r="C168">
        <v>6.5</v>
      </c>
      <c r="D168">
        <v>40.85</v>
      </c>
      <c r="E168">
        <v>22.2</v>
      </c>
      <c r="F168">
        <v>2.5</v>
      </c>
      <c r="G168">
        <v>0.930523923822277</v>
      </c>
      <c r="H168">
        <v>16.3</v>
      </c>
      <c r="I168">
        <v>38.4268167972734</v>
      </c>
      <c r="J168">
        <v>2.90141010746495</v>
      </c>
      <c r="K168">
        <v>5.90725024662089</v>
      </c>
      <c r="L168">
        <v>1</v>
      </c>
    </row>
    <row r="169" spans="1:12">
      <c r="A169">
        <v>0</v>
      </c>
      <c r="B169">
        <v>50</v>
      </c>
      <c r="C169">
        <v>6.5</v>
      </c>
      <c r="D169">
        <v>43.1</v>
      </c>
      <c r="E169">
        <v>22.2</v>
      </c>
      <c r="F169">
        <v>2.5</v>
      </c>
      <c r="G169">
        <v>0.920818198615511</v>
      </c>
      <c r="H169">
        <v>18.3</v>
      </c>
      <c r="I169">
        <v>43.3516476758347</v>
      </c>
      <c r="J169">
        <v>2.99832681525706</v>
      </c>
      <c r="K169">
        <v>5.62795659602085</v>
      </c>
      <c r="L169">
        <v>1</v>
      </c>
    </row>
    <row r="170" spans="1:12">
      <c r="A170">
        <v>0</v>
      </c>
      <c r="B170">
        <v>52.5</v>
      </c>
      <c r="C170">
        <v>6.5</v>
      </c>
      <c r="D170">
        <v>46.15</v>
      </c>
      <c r="E170">
        <v>22.3</v>
      </c>
      <c r="F170">
        <v>2.5</v>
      </c>
      <c r="G170">
        <v>0.909893599259399</v>
      </c>
      <c r="H170">
        <v>19.4</v>
      </c>
      <c r="I170">
        <v>44.7247384199421</v>
      </c>
      <c r="J170">
        <v>2.71514490709756</v>
      </c>
      <c r="K170">
        <v>5.20703619554137</v>
      </c>
      <c r="L170">
        <v>1</v>
      </c>
    </row>
    <row r="171" spans="1:12">
      <c r="A171">
        <v>0</v>
      </c>
      <c r="B171">
        <v>55</v>
      </c>
      <c r="C171">
        <v>6.5</v>
      </c>
      <c r="D171">
        <v>48.3</v>
      </c>
      <c r="E171">
        <v>22.3</v>
      </c>
      <c r="F171">
        <v>2.5</v>
      </c>
      <c r="G171">
        <v>0.89760467536325</v>
      </c>
      <c r="H171">
        <v>21.5</v>
      </c>
      <c r="I171">
        <v>51.1390792674063</v>
      </c>
      <c r="J171">
        <v>2.91003046668826</v>
      </c>
      <c r="K171">
        <v>4.92910949865242</v>
      </c>
      <c r="L171">
        <v>1</v>
      </c>
    </row>
    <row r="172" spans="1:12">
      <c r="A172">
        <v>0</v>
      </c>
      <c r="B172">
        <v>57.5</v>
      </c>
      <c r="C172">
        <v>6.5</v>
      </c>
      <c r="D172">
        <v>50.75</v>
      </c>
      <c r="E172">
        <v>22.3</v>
      </c>
      <c r="F172">
        <v>2.5</v>
      </c>
      <c r="G172">
        <v>0.883786850160418</v>
      </c>
      <c r="H172">
        <v>23.3</v>
      </c>
      <c r="I172">
        <v>56.5659616388304</v>
      </c>
      <c r="J172">
        <v>2.97906007697399</v>
      </c>
      <c r="K172">
        <v>4.62464718937019</v>
      </c>
      <c r="L172">
        <v>1</v>
      </c>
    </row>
    <row r="173" spans="1:12">
      <c r="A173">
        <v>0</v>
      </c>
      <c r="B173">
        <v>60</v>
      </c>
      <c r="C173">
        <v>6.5</v>
      </c>
      <c r="D173">
        <v>53.8</v>
      </c>
      <c r="E173">
        <v>22.4</v>
      </c>
      <c r="F173">
        <v>2.5</v>
      </c>
      <c r="G173">
        <v>0.868253123396246</v>
      </c>
      <c r="H173">
        <v>25.3</v>
      </c>
      <c r="I173">
        <v>58.5777446539999</v>
      </c>
      <c r="J173">
        <v>2.87432292392948</v>
      </c>
      <c r="K173">
        <v>4.33300257439266</v>
      </c>
      <c r="L173">
        <v>1</v>
      </c>
    </row>
    <row r="174" spans="1:12">
      <c r="A174">
        <v>0</v>
      </c>
      <c r="B174">
        <v>62.5</v>
      </c>
      <c r="C174">
        <v>6.5</v>
      </c>
      <c r="D174">
        <v>56.15</v>
      </c>
      <c r="E174">
        <v>22.4</v>
      </c>
      <c r="F174">
        <v>2.5</v>
      </c>
      <c r="G174">
        <v>0.850790029374404</v>
      </c>
      <c r="H174">
        <v>28</v>
      </c>
      <c r="I174">
        <v>65.9121582945978</v>
      </c>
      <c r="J174">
        <v>3.12291186369451</v>
      </c>
      <c r="K174">
        <v>4.12329130615695</v>
      </c>
      <c r="L174">
        <v>1</v>
      </c>
    </row>
    <row r="175" spans="1:12">
      <c r="A175">
        <v>0</v>
      </c>
      <c r="B175">
        <v>65</v>
      </c>
      <c r="C175">
        <v>6.5</v>
      </c>
      <c r="D175">
        <v>59</v>
      </c>
      <c r="E175">
        <v>22.4</v>
      </c>
      <c r="F175">
        <v>2.5</v>
      </c>
      <c r="G175">
        <v>0.831152647810126</v>
      </c>
      <c r="H175">
        <v>30.3</v>
      </c>
      <c r="I175">
        <v>70.0314745214019</v>
      </c>
      <c r="J175">
        <v>3.14262344945362</v>
      </c>
      <c r="K175">
        <v>3.91367457748665</v>
      </c>
      <c r="L175">
        <v>1</v>
      </c>
    </row>
    <row r="176" spans="1:12">
      <c r="A176">
        <v>0</v>
      </c>
      <c r="B176">
        <v>67.5</v>
      </c>
      <c r="C176">
        <v>6.5</v>
      </c>
      <c r="D176">
        <v>61.45</v>
      </c>
      <c r="E176">
        <v>22.3</v>
      </c>
      <c r="F176">
        <v>2.5</v>
      </c>
      <c r="G176">
        <v>0.809058400419842</v>
      </c>
      <c r="H176">
        <v>32.5</v>
      </c>
      <c r="I176">
        <v>78.2869769325753</v>
      </c>
      <c r="J176">
        <v>3.33214955159476</v>
      </c>
      <c r="K176">
        <v>3.74197464560577</v>
      </c>
      <c r="L176">
        <v>1</v>
      </c>
    </row>
    <row r="177" spans="1:12">
      <c r="A177">
        <v>0</v>
      </c>
      <c r="B177">
        <v>70</v>
      </c>
      <c r="C177">
        <v>6.5</v>
      </c>
      <c r="D177">
        <v>64</v>
      </c>
      <c r="E177">
        <v>22.3</v>
      </c>
      <c r="F177">
        <v>2.5</v>
      </c>
      <c r="G177">
        <v>0.784179277129304</v>
      </c>
      <c r="H177">
        <v>35.2</v>
      </c>
      <c r="I177">
        <v>86.8903258485003</v>
      </c>
      <c r="J177">
        <v>3.58503677230165</v>
      </c>
      <c r="K177">
        <v>3.6496370095611</v>
      </c>
      <c r="L177">
        <v>1</v>
      </c>
    </row>
    <row r="178" spans="1:12">
      <c r="A178">
        <v>0</v>
      </c>
      <c r="B178">
        <v>45</v>
      </c>
      <c r="C178">
        <v>7.2</v>
      </c>
      <c r="D178">
        <v>38.6</v>
      </c>
      <c r="E178">
        <v>22</v>
      </c>
      <c r="F178">
        <v>2.5</v>
      </c>
      <c r="G178">
        <v>0.93913980595102</v>
      </c>
      <c r="H178">
        <v>17.5</v>
      </c>
      <c r="I178">
        <v>37.6921727675598</v>
      </c>
      <c r="J178">
        <v>3.75106595940835</v>
      </c>
      <c r="K178">
        <v>6.16578896647774</v>
      </c>
      <c r="L178">
        <v>1</v>
      </c>
    </row>
    <row r="179" spans="1:12">
      <c r="A179">
        <v>0</v>
      </c>
      <c r="B179">
        <v>47.5</v>
      </c>
      <c r="C179">
        <v>7.2</v>
      </c>
      <c r="D179">
        <v>39.2</v>
      </c>
      <c r="E179">
        <v>22</v>
      </c>
      <c r="F179">
        <v>2.5</v>
      </c>
      <c r="G179">
        <v>0.930523923822277</v>
      </c>
      <c r="H179">
        <v>19.3</v>
      </c>
      <c r="I179">
        <v>49.6436515232072</v>
      </c>
      <c r="J179">
        <v>4.60494552944875</v>
      </c>
      <c r="K179">
        <v>5.7975029303957</v>
      </c>
      <c r="L179">
        <v>1</v>
      </c>
    </row>
    <row r="180" spans="1:12">
      <c r="A180">
        <v>0</v>
      </c>
      <c r="B180">
        <v>50</v>
      </c>
      <c r="C180">
        <v>7.2</v>
      </c>
      <c r="D180">
        <v>40.5</v>
      </c>
      <c r="E180">
        <v>22</v>
      </c>
      <c r="F180">
        <v>2.5</v>
      </c>
      <c r="G180">
        <v>0.920818198615511</v>
      </c>
      <c r="H180">
        <v>20.4</v>
      </c>
      <c r="I180">
        <v>59.7871135096979</v>
      </c>
      <c r="J180">
        <v>4.87962940174664</v>
      </c>
      <c r="K180">
        <v>5.35708964540811</v>
      </c>
      <c r="L180">
        <v>1</v>
      </c>
    </row>
    <row r="181" spans="1:12">
      <c r="A181">
        <v>0</v>
      </c>
      <c r="B181">
        <v>52.5</v>
      </c>
      <c r="C181">
        <v>7.2</v>
      </c>
      <c r="D181">
        <v>42</v>
      </c>
      <c r="E181">
        <v>22.1</v>
      </c>
      <c r="F181">
        <v>2.5</v>
      </c>
      <c r="G181">
        <v>0.909893599259399</v>
      </c>
      <c r="H181">
        <v>21.7</v>
      </c>
      <c r="I181">
        <v>70.3161377013072</v>
      </c>
      <c r="J181">
        <v>5.19458399264461</v>
      </c>
      <c r="K181">
        <v>4.94725839383211</v>
      </c>
      <c r="L181">
        <v>1</v>
      </c>
    </row>
    <row r="182" spans="1:12">
      <c r="A182">
        <v>0</v>
      </c>
      <c r="B182">
        <v>55</v>
      </c>
      <c r="C182">
        <v>7.2</v>
      </c>
      <c r="D182">
        <v>43.5</v>
      </c>
      <c r="E182">
        <v>22.1</v>
      </c>
      <c r="F182">
        <v>2.5</v>
      </c>
      <c r="G182">
        <v>0.89760467536325</v>
      </c>
      <c r="H182">
        <v>23.2</v>
      </c>
      <c r="I182">
        <v>82.2754287790443</v>
      </c>
      <c r="J182">
        <v>5.56424531260027</v>
      </c>
      <c r="K182">
        <v>4.60257506865153</v>
      </c>
      <c r="L182">
        <v>1</v>
      </c>
    </row>
    <row r="183" spans="1:12">
      <c r="A183">
        <v>0</v>
      </c>
      <c r="B183">
        <v>57.5</v>
      </c>
      <c r="C183">
        <v>7.2</v>
      </c>
      <c r="D183">
        <v>45.5</v>
      </c>
      <c r="E183">
        <v>22.2</v>
      </c>
      <c r="F183">
        <v>2.5</v>
      </c>
      <c r="G183">
        <v>0.883786850160418</v>
      </c>
      <c r="H183">
        <v>24.8</v>
      </c>
      <c r="I183">
        <v>93.1643799082702</v>
      </c>
      <c r="J183">
        <v>5.80150681581898</v>
      </c>
      <c r="K183">
        <v>4.27120788959989</v>
      </c>
      <c r="L183">
        <v>1</v>
      </c>
    </row>
    <row r="184" spans="1:12">
      <c r="A184">
        <v>0</v>
      </c>
      <c r="B184">
        <v>60</v>
      </c>
      <c r="C184">
        <v>7.2</v>
      </c>
      <c r="D184">
        <v>48.5</v>
      </c>
      <c r="E184">
        <v>22.2</v>
      </c>
      <c r="F184">
        <v>2.5</v>
      </c>
      <c r="G184">
        <v>0.868253123396246</v>
      </c>
      <c r="H184">
        <v>26.9</v>
      </c>
      <c r="I184">
        <v>99.8276717263061</v>
      </c>
      <c r="J184">
        <v>5.70966410334951</v>
      </c>
      <c r="K184">
        <v>4.02110400258121</v>
      </c>
      <c r="L184">
        <v>1</v>
      </c>
    </row>
    <row r="185" spans="1:12">
      <c r="A185">
        <v>0</v>
      </c>
      <c r="B185">
        <v>62.5</v>
      </c>
      <c r="C185">
        <v>7.2</v>
      </c>
      <c r="D185">
        <v>51.3</v>
      </c>
      <c r="E185">
        <v>22.3</v>
      </c>
      <c r="F185">
        <v>2.5</v>
      </c>
      <c r="G185">
        <v>0.850790029374404</v>
      </c>
      <c r="H185">
        <v>28.6</v>
      </c>
      <c r="I185">
        <v>108.191246451604</v>
      </c>
      <c r="J185">
        <v>5.69739289617914</v>
      </c>
      <c r="K185">
        <v>3.74913791772649</v>
      </c>
      <c r="L185">
        <v>1</v>
      </c>
    </row>
    <row r="186" spans="1:12">
      <c r="A186">
        <v>0</v>
      </c>
      <c r="B186">
        <v>65</v>
      </c>
      <c r="C186">
        <v>7.2</v>
      </c>
      <c r="D186">
        <v>54.4</v>
      </c>
      <c r="E186">
        <v>22.4</v>
      </c>
      <c r="F186">
        <v>2.5</v>
      </c>
      <c r="G186">
        <v>0.831152647810126</v>
      </c>
      <c r="H186">
        <v>30.5</v>
      </c>
      <c r="I186">
        <v>115.243420830373</v>
      </c>
      <c r="J186">
        <v>5.63204703228184</v>
      </c>
      <c r="K186">
        <v>3.52249732939454</v>
      </c>
      <c r="L186">
        <v>1</v>
      </c>
    </row>
    <row r="187" spans="1:12">
      <c r="A187">
        <v>0</v>
      </c>
      <c r="B187">
        <v>67.5</v>
      </c>
      <c r="C187">
        <v>7.2</v>
      </c>
      <c r="D187">
        <v>57.8</v>
      </c>
      <c r="E187">
        <v>22.3</v>
      </c>
      <c r="F187">
        <v>2.5</v>
      </c>
      <c r="G187">
        <v>0.809058400419842</v>
      </c>
      <c r="H187">
        <v>32.9</v>
      </c>
      <c r="I187">
        <v>120.382815174598</v>
      </c>
      <c r="J187">
        <v>5.49990390926716</v>
      </c>
      <c r="K187">
        <v>3.39025009132138</v>
      </c>
      <c r="L187">
        <v>1</v>
      </c>
    </row>
    <row r="188" spans="1:12">
      <c r="A188">
        <v>0</v>
      </c>
      <c r="B188">
        <v>70</v>
      </c>
      <c r="C188">
        <v>7.2</v>
      </c>
      <c r="D188">
        <v>60.9</v>
      </c>
      <c r="E188">
        <v>22.3</v>
      </c>
      <c r="F188">
        <v>2.5</v>
      </c>
      <c r="G188">
        <v>0.784179277129304</v>
      </c>
      <c r="H188">
        <v>35.4</v>
      </c>
      <c r="I188">
        <v>128.312705283586</v>
      </c>
      <c r="J188">
        <v>5.57966586098572</v>
      </c>
      <c r="K188">
        <v>3.29839117066079</v>
      </c>
      <c r="L188">
        <v>1</v>
      </c>
    </row>
    <row r="189" spans="1:12">
      <c r="A189">
        <v>0</v>
      </c>
      <c r="B189">
        <v>45</v>
      </c>
      <c r="C189">
        <v>7.2</v>
      </c>
      <c r="D189">
        <v>37.8</v>
      </c>
      <c r="E189">
        <v>22.1</v>
      </c>
      <c r="F189">
        <v>4.5</v>
      </c>
      <c r="G189">
        <v>0.93913980595102</v>
      </c>
      <c r="H189">
        <v>19.9</v>
      </c>
      <c r="I189">
        <v>47.1738175450215</v>
      </c>
      <c r="J189">
        <v>6.14763404465717</v>
      </c>
      <c r="K189">
        <v>11.6910515540224</v>
      </c>
      <c r="L189">
        <v>1</v>
      </c>
    </row>
    <row r="190" spans="1:12">
      <c r="A190">
        <v>0</v>
      </c>
      <c r="B190">
        <v>47.5</v>
      </c>
      <c r="C190">
        <v>7.2</v>
      </c>
      <c r="D190">
        <v>38.6</v>
      </c>
      <c r="E190">
        <v>22.1</v>
      </c>
      <c r="F190">
        <v>4.5</v>
      </c>
      <c r="G190">
        <v>0.930523923822277</v>
      </c>
      <c r="H190">
        <v>20.4</v>
      </c>
      <c r="I190">
        <v>58.1854348129961</v>
      </c>
      <c r="J190">
        <v>6.04077373574559</v>
      </c>
      <c r="K190">
        <v>10.6350389233287</v>
      </c>
      <c r="L190">
        <v>1</v>
      </c>
    </row>
    <row r="191" spans="1:12">
      <c r="A191">
        <v>0</v>
      </c>
      <c r="B191">
        <v>50</v>
      </c>
      <c r="C191">
        <v>7.2</v>
      </c>
      <c r="D191">
        <v>39.3</v>
      </c>
      <c r="E191">
        <v>22.1</v>
      </c>
      <c r="F191">
        <v>4.5</v>
      </c>
      <c r="G191">
        <v>0.920818198615511</v>
      </c>
      <c r="H191">
        <v>21.7</v>
      </c>
      <c r="I191">
        <v>71.1503576728905</v>
      </c>
      <c r="J191">
        <v>6.59990777131476</v>
      </c>
      <c r="K191">
        <v>9.83981852340347</v>
      </c>
      <c r="L191">
        <v>1</v>
      </c>
    </row>
    <row r="192" spans="1:12">
      <c r="A192">
        <v>0</v>
      </c>
      <c r="B192">
        <v>52.5</v>
      </c>
      <c r="C192">
        <v>7.2</v>
      </c>
      <c r="D192">
        <v>40.6</v>
      </c>
      <c r="E192">
        <v>22.2</v>
      </c>
      <c r="F192">
        <v>4.5</v>
      </c>
      <c r="G192">
        <v>0.909893599259399</v>
      </c>
      <c r="H192">
        <v>23.2</v>
      </c>
      <c r="I192">
        <v>82.9835741627716</v>
      </c>
      <c r="J192">
        <v>6.9930616360197</v>
      </c>
      <c r="K192">
        <v>9.09989497484409</v>
      </c>
      <c r="L192">
        <v>1</v>
      </c>
    </row>
    <row r="193" spans="1:12">
      <c r="A193">
        <v>0</v>
      </c>
      <c r="B193">
        <v>55</v>
      </c>
      <c r="C193">
        <v>7.2</v>
      </c>
      <c r="D193">
        <v>42.5</v>
      </c>
      <c r="E193">
        <v>22.2</v>
      </c>
      <c r="F193">
        <v>4.5</v>
      </c>
      <c r="G193">
        <v>0.89760467536325</v>
      </c>
      <c r="H193">
        <v>24.9</v>
      </c>
      <c r="I193">
        <v>93.6281680435471</v>
      </c>
      <c r="J193">
        <v>7.12599552156495</v>
      </c>
      <c r="K193">
        <v>8.48533645923056</v>
      </c>
      <c r="L193">
        <v>1</v>
      </c>
    </row>
    <row r="194" spans="1:12">
      <c r="A194">
        <v>0</v>
      </c>
      <c r="B194">
        <v>57.5</v>
      </c>
      <c r="C194">
        <v>7.2</v>
      </c>
      <c r="D194">
        <v>44.6</v>
      </c>
      <c r="E194">
        <v>22.2</v>
      </c>
      <c r="F194">
        <v>4.5</v>
      </c>
      <c r="G194">
        <v>0.883786850160418</v>
      </c>
      <c r="H194">
        <v>26.6</v>
      </c>
      <c r="I194">
        <v>104.599214219014</v>
      </c>
      <c r="J194">
        <v>7.22068939196218</v>
      </c>
      <c r="K194">
        <v>7.91475580848631</v>
      </c>
      <c r="L194">
        <v>1</v>
      </c>
    </row>
    <row r="195" spans="1:12">
      <c r="A195">
        <v>0</v>
      </c>
      <c r="B195">
        <v>60</v>
      </c>
      <c r="C195">
        <v>7.2</v>
      </c>
      <c r="D195">
        <v>47.2</v>
      </c>
      <c r="E195">
        <v>22.2</v>
      </c>
      <c r="F195">
        <v>4.5</v>
      </c>
      <c r="G195">
        <v>0.868253123396246</v>
      </c>
      <c r="H195">
        <v>28.5</v>
      </c>
      <c r="I195">
        <v>114.258624823129</v>
      </c>
      <c r="J195">
        <v>7.19655710368723</v>
      </c>
      <c r="K195">
        <v>7.42266208838842</v>
      </c>
      <c r="L195">
        <v>1</v>
      </c>
    </row>
    <row r="196" spans="1:12">
      <c r="A196">
        <v>0</v>
      </c>
      <c r="B196">
        <v>62.5</v>
      </c>
      <c r="C196">
        <v>7.2</v>
      </c>
      <c r="D196">
        <v>50.3</v>
      </c>
      <c r="E196">
        <v>22.2</v>
      </c>
      <c r="F196">
        <v>4.5</v>
      </c>
      <c r="G196">
        <v>0.850790029374404</v>
      </c>
      <c r="H196">
        <v>30.5</v>
      </c>
      <c r="I196">
        <v>121.961164483263</v>
      </c>
      <c r="J196">
        <v>7.02034581557563</v>
      </c>
      <c r="K196">
        <v>7.00103139570932</v>
      </c>
      <c r="L196">
        <v>1</v>
      </c>
    </row>
    <row r="197" spans="1:12">
      <c r="A197">
        <v>0</v>
      </c>
      <c r="B197">
        <v>65</v>
      </c>
      <c r="C197">
        <v>7.2</v>
      </c>
      <c r="D197">
        <v>53.6</v>
      </c>
      <c r="E197">
        <v>22.1</v>
      </c>
      <c r="F197">
        <v>4.5</v>
      </c>
      <c r="G197">
        <v>0.831152647810126</v>
      </c>
      <c r="H197">
        <v>33</v>
      </c>
      <c r="I197">
        <v>129.060052943962</v>
      </c>
      <c r="J197">
        <v>6.91578324947234</v>
      </c>
      <c r="K197">
        <v>6.73632670256045</v>
      </c>
      <c r="L197">
        <v>1</v>
      </c>
    </row>
    <row r="198" spans="1:12">
      <c r="A198">
        <v>0</v>
      </c>
      <c r="B198">
        <v>67.5</v>
      </c>
      <c r="C198">
        <v>7.2</v>
      </c>
      <c r="D198">
        <v>56.4</v>
      </c>
      <c r="E198">
        <v>22.1</v>
      </c>
      <c r="F198">
        <v>4.5</v>
      </c>
      <c r="G198">
        <v>0.809058400419842</v>
      </c>
      <c r="H198">
        <v>35.1</v>
      </c>
      <c r="I198">
        <v>140.325432451574</v>
      </c>
      <c r="J198">
        <v>7.03382083187963</v>
      </c>
      <c r="K198">
        <v>6.46450896066444</v>
      </c>
      <c r="L198">
        <v>1</v>
      </c>
    </row>
    <row r="199" spans="1:12">
      <c r="A199">
        <v>0</v>
      </c>
      <c r="B199">
        <v>70</v>
      </c>
      <c r="C199">
        <v>7.2</v>
      </c>
      <c r="D199">
        <v>58.6</v>
      </c>
      <c r="E199">
        <v>22.1</v>
      </c>
      <c r="F199">
        <v>4.5</v>
      </c>
      <c r="G199">
        <v>0.784179277129304</v>
      </c>
      <c r="H199">
        <v>37.3</v>
      </c>
      <c r="I199">
        <v>158.321200468646</v>
      </c>
      <c r="J199">
        <v>7.55820679415947</v>
      </c>
      <c r="K199">
        <v>6.2934809976867</v>
      </c>
      <c r="L199">
        <v>1</v>
      </c>
    </row>
    <row r="200" spans="1:12">
      <c r="A200">
        <v>0</v>
      </c>
      <c r="B200">
        <v>45</v>
      </c>
      <c r="C200">
        <v>6.4</v>
      </c>
      <c r="D200">
        <v>36.3</v>
      </c>
      <c r="E200">
        <v>22</v>
      </c>
      <c r="F200">
        <v>4.5</v>
      </c>
      <c r="G200">
        <v>0.93913980595102</v>
      </c>
      <c r="H200">
        <v>18.4</v>
      </c>
      <c r="I200">
        <v>48.1649392768033</v>
      </c>
      <c r="J200">
        <v>5.63183813217785</v>
      </c>
      <c r="K200">
        <v>12.7277652759189</v>
      </c>
      <c r="L200">
        <v>1</v>
      </c>
    </row>
    <row r="201" spans="1:12">
      <c r="A201">
        <v>0</v>
      </c>
      <c r="B201">
        <v>47.5</v>
      </c>
      <c r="C201">
        <v>6.4</v>
      </c>
      <c r="D201">
        <v>37.4</v>
      </c>
      <c r="E201">
        <v>22</v>
      </c>
      <c r="F201">
        <v>4.5</v>
      </c>
      <c r="G201">
        <v>0.930523923822277</v>
      </c>
      <c r="H201">
        <v>18.9</v>
      </c>
      <c r="I201">
        <v>57.0687923550578</v>
      </c>
      <c r="J201">
        <v>5.49480291560478</v>
      </c>
      <c r="K201">
        <v>11.5979412870124</v>
      </c>
      <c r="L201">
        <v>1</v>
      </c>
    </row>
    <row r="202" spans="1:12">
      <c r="A202">
        <v>0</v>
      </c>
      <c r="B202">
        <v>50</v>
      </c>
      <c r="C202">
        <v>6.4</v>
      </c>
      <c r="D202">
        <v>38.8</v>
      </c>
      <c r="E202">
        <v>22.1</v>
      </c>
      <c r="F202">
        <v>4.5</v>
      </c>
      <c r="G202">
        <v>0.920818198615511</v>
      </c>
      <c r="H202">
        <v>20.7</v>
      </c>
      <c r="I202">
        <v>66.3184986107888</v>
      </c>
      <c r="J202">
        <v>5.87321994379078</v>
      </c>
      <c r="K202">
        <v>10.8396926808336</v>
      </c>
      <c r="L202">
        <v>1</v>
      </c>
    </row>
    <row r="203" spans="1:12">
      <c r="A203">
        <v>0</v>
      </c>
      <c r="B203">
        <v>52.5</v>
      </c>
      <c r="C203">
        <v>6.4</v>
      </c>
      <c r="D203">
        <v>39.8</v>
      </c>
      <c r="E203">
        <v>22.2</v>
      </c>
      <c r="F203">
        <v>4.5</v>
      </c>
      <c r="G203">
        <v>0.909893599259399</v>
      </c>
      <c r="H203">
        <v>22.3</v>
      </c>
      <c r="I203">
        <v>78.1183718040624</v>
      </c>
      <c r="J203">
        <v>6.41593804464434</v>
      </c>
      <c r="K203">
        <v>10.0551935933232</v>
      </c>
      <c r="L203">
        <v>1</v>
      </c>
    </row>
    <row r="204" spans="1:12">
      <c r="A204">
        <v>0</v>
      </c>
      <c r="B204">
        <v>55</v>
      </c>
      <c r="C204">
        <v>6.4</v>
      </c>
      <c r="D204">
        <v>41.9</v>
      </c>
      <c r="E204">
        <v>22.1</v>
      </c>
      <c r="F204">
        <v>4.5</v>
      </c>
      <c r="G204">
        <v>0.89760467536325</v>
      </c>
      <c r="H204">
        <v>24.5</v>
      </c>
      <c r="I204">
        <v>87.2326010685248</v>
      </c>
      <c r="J204">
        <v>6.56119421150804</v>
      </c>
      <c r="K204">
        <v>9.5129773428688</v>
      </c>
      <c r="L204">
        <v>1</v>
      </c>
    </row>
    <row r="205" spans="1:12">
      <c r="A205">
        <v>0</v>
      </c>
      <c r="B205">
        <v>57.5</v>
      </c>
      <c r="C205">
        <v>6.4</v>
      </c>
      <c r="D205">
        <v>44.5</v>
      </c>
      <c r="E205">
        <v>22.1</v>
      </c>
      <c r="F205">
        <v>4.5</v>
      </c>
      <c r="G205">
        <v>0.883786850160418</v>
      </c>
      <c r="H205">
        <v>26.4</v>
      </c>
      <c r="I205">
        <v>95.0805589197763</v>
      </c>
      <c r="J205">
        <v>6.46999349244492</v>
      </c>
      <c r="K205">
        <v>8.91026938305591</v>
      </c>
      <c r="L205">
        <v>1</v>
      </c>
    </row>
    <row r="206" spans="1:12">
      <c r="A206">
        <v>0</v>
      </c>
      <c r="B206">
        <v>60</v>
      </c>
      <c r="C206">
        <v>6.4</v>
      </c>
      <c r="D206">
        <v>46.3</v>
      </c>
      <c r="E206">
        <v>22.1</v>
      </c>
      <c r="F206">
        <v>4.5</v>
      </c>
      <c r="G206">
        <v>0.868253123396246</v>
      </c>
      <c r="H206">
        <v>28.4</v>
      </c>
      <c r="I206">
        <v>107.622028474116</v>
      </c>
      <c r="J206">
        <v>6.84579209262805</v>
      </c>
      <c r="K206">
        <v>8.35758670654524</v>
      </c>
      <c r="L206">
        <v>1</v>
      </c>
    </row>
    <row r="207" spans="1:12">
      <c r="A207">
        <v>0</v>
      </c>
      <c r="B207">
        <v>62.5</v>
      </c>
      <c r="C207">
        <v>6.4</v>
      </c>
      <c r="D207">
        <v>48.5</v>
      </c>
      <c r="E207">
        <v>22.1</v>
      </c>
      <c r="F207">
        <v>4.5</v>
      </c>
      <c r="G207">
        <v>0.850790029374404</v>
      </c>
      <c r="H207">
        <v>30.5</v>
      </c>
      <c r="I207">
        <v>119.780423128766</v>
      </c>
      <c r="J207">
        <v>7.12025108744338</v>
      </c>
      <c r="K207">
        <v>7.88271763133837</v>
      </c>
      <c r="L207">
        <v>1</v>
      </c>
    </row>
    <row r="208" spans="1:12">
      <c r="A208">
        <v>0</v>
      </c>
      <c r="B208">
        <v>65</v>
      </c>
      <c r="C208">
        <v>6.4</v>
      </c>
      <c r="D208">
        <v>51</v>
      </c>
      <c r="E208">
        <v>22.1</v>
      </c>
      <c r="F208">
        <v>4.5</v>
      </c>
      <c r="G208">
        <v>0.831152647810126</v>
      </c>
      <c r="H208">
        <v>32.5</v>
      </c>
      <c r="I208">
        <v>131.822221301801</v>
      </c>
      <c r="J208">
        <v>7.28254205146509</v>
      </c>
      <c r="K208">
        <v>7.46631430664964</v>
      </c>
      <c r="L208">
        <v>1</v>
      </c>
    </row>
    <row r="209" spans="1:12">
      <c r="A209">
        <v>0</v>
      </c>
      <c r="B209">
        <v>67.5</v>
      </c>
      <c r="C209">
        <v>6.4</v>
      </c>
      <c r="D209">
        <v>54.6</v>
      </c>
      <c r="E209">
        <v>22.1</v>
      </c>
      <c r="F209">
        <v>4.5</v>
      </c>
      <c r="G209">
        <v>0.809058400419842</v>
      </c>
      <c r="H209">
        <v>34.9</v>
      </c>
      <c r="I209">
        <v>138.718445067583</v>
      </c>
      <c r="J209">
        <v>7.1242314843398</v>
      </c>
      <c r="K209">
        <v>7.2143883527434</v>
      </c>
      <c r="L209">
        <v>1</v>
      </c>
    </row>
    <row r="210" spans="1:12">
      <c r="A210">
        <v>0</v>
      </c>
      <c r="B210">
        <v>70</v>
      </c>
      <c r="C210">
        <v>6.4</v>
      </c>
      <c r="D210">
        <v>56.9</v>
      </c>
      <c r="E210">
        <v>22.1</v>
      </c>
      <c r="F210">
        <v>4.5</v>
      </c>
      <c r="G210">
        <v>0.784179277129304</v>
      </c>
      <c r="H210">
        <v>36.8</v>
      </c>
      <c r="I210">
        <v>154.891680383873</v>
      </c>
      <c r="J210">
        <v>7.46795060502404</v>
      </c>
      <c r="K210">
        <v>6.94918309946874</v>
      </c>
      <c r="L210">
        <v>1</v>
      </c>
    </row>
    <row r="211" spans="1:12">
      <c r="A211">
        <v>0</v>
      </c>
      <c r="B211">
        <v>45</v>
      </c>
      <c r="C211">
        <v>5.8</v>
      </c>
      <c r="D211">
        <v>33</v>
      </c>
      <c r="E211">
        <v>21.9</v>
      </c>
      <c r="F211">
        <v>4.5</v>
      </c>
      <c r="G211">
        <v>0.93913980595102</v>
      </c>
      <c r="H211">
        <v>13.8</v>
      </c>
      <c r="I211">
        <v>52.5720097828649</v>
      </c>
      <c r="J211">
        <v>5.16755717790459</v>
      </c>
      <c r="K211">
        <v>12.2480361371544</v>
      </c>
      <c r="L211">
        <v>1</v>
      </c>
    </row>
    <row r="212" spans="1:12">
      <c r="A212">
        <v>0</v>
      </c>
      <c r="B212">
        <v>47.5</v>
      </c>
      <c r="C212">
        <v>5.8</v>
      </c>
      <c r="D212">
        <v>34.2</v>
      </c>
      <c r="E212">
        <v>21.9</v>
      </c>
      <c r="F212">
        <v>4.5</v>
      </c>
      <c r="G212">
        <v>0.930523923822277</v>
      </c>
      <c r="H212">
        <v>15.3</v>
      </c>
      <c r="I212">
        <v>61.1328645018049</v>
      </c>
      <c r="J212">
        <v>5.42417745732886</v>
      </c>
      <c r="K212">
        <v>11.5940336736929</v>
      </c>
      <c r="L212">
        <v>1</v>
      </c>
    </row>
    <row r="213" spans="1:12">
      <c r="A213">
        <v>0</v>
      </c>
      <c r="B213">
        <v>50</v>
      </c>
      <c r="C213">
        <v>5.8</v>
      </c>
      <c r="D213">
        <v>36.5</v>
      </c>
      <c r="E213">
        <v>21.9</v>
      </c>
      <c r="F213">
        <v>4.5</v>
      </c>
      <c r="G213">
        <v>0.920818198615511</v>
      </c>
      <c r="H213">
        <v>17.6</v>
      </c>
      <c r="I213">
        <v>67.7158051323178</v>
      </c>
      <c r="J213">
        <v>5.44445431388536</v>
      </c>
      <c r="K213">
        <v>11.1849783330537</v>
      </c>
      <c r="L213">
        <v>1</v>
      </c>
    </row>
    <row r="214" spans="1:12">
      <c r="A214">
        <v>0</v>
      </c>
      <c r="B214">
        <v>52.5</v>
      </c>
      <c r="C214">
        <v>5.8</v>
      </c>
      <c r="D214">
        <v>38.6</v>
      </c>
      <c r="E214">
        <v>22</v>
      </c>
      <c r="F214">
        <v>4.5</v>
      </c>
      <c r="G214">
        <v>0.909893599259399</v>
      </c>
      <c r="H214">
        <v>19.7</v>
      </c>
      <c r="I214">
        <v>75.4325296390204</v>
      </c>
      <c r="J214">
        <v>5.59054617166976</v>
      </c>
      <c r="K214">
        <v>10.5925886114828</v>
      </c>
      <c r="L214">
        <v>1</v>
      </c>
    </row>
    <row r="215" spans="1:12">
      <c r="A215">
        <v>0</v>
      </c>
      <c r="B215">
        <v>55</v>
      </c>
      <c r="C215">
        <v>5.8</v>
      </c>
      <c r="D215">
        <v>40.9</v>
      </c>
      <c r="E215">
        <v>22</v>
      </c>
      <c r="F215">
        <v>4.5</v>
      </c>
      <c r="G215">
        <v>0.89760467536325</v>
      </c>
      <c r="H215">
        <v>21.4</v>
      </c>
      <c r="I215">
        <v>83.2255953205198</v>
      </c>
      <c r="J215">
        <v>5.56536195661449</v>
      </c>
      <c r="K215">
        <v>9.94254587387655</v>
      </c>
      <c r="L215">
        <v>1</v>
      </c>
    </row>
    <row r="216" spans="1:12">
      <c r="A216">
        <v>0</v>
      </c>
      <c r="B216">
        <v>57.5</v>
      </c>
      <c r="C216">
        <v>5.8</v>
      </c>
      <c r="D216">
        <v>44</v>
      </c>
      <c r="E216">
        <v>21.9</v>
      </c>
      <c r="F216">
        <v>4.5</v>
      </c>
      <c r="G216">
        <v>0.883786850160418</v>
      </c>
      <c r="H216">
        <v>22.9</v>
      </c>
      <c r="I216">
        <v>88.7932920436928</v>
      </c>
      <c r="J216">
        <v>5.23290623117367</v>
      </c>
      <c r="K216">
        <v>9.32847582559337</v>
      </c>
      <c r="L216">
        <v>1</v>
      </c>
    </row>
    <row r="217" spans="1:12">
      <c r="A217">
        <v>0</v>
      </c>
      <c r="B217">
        <v>60</v>
      </c>
      <c r="C217">
        <v>5.8</v>
      </c>
      <c r="D217">
        <v>46.9</v>
      </c>
      <c r="E217">
        <v>21.9</v>
      </c>
      <c r="F217">
        <v>4.5</v>
      </c>
      <c r="G217">
        <v>0.868253123396246</v>
      </c>
      <c r="H217">
        <v>24.6</v>
      </c>
      <c r="I217">
        <v>95.5500763257328</v>
      </c>
      <c r="J217">
        <v>5.11970718720038</v>
      </c>
      <c r="K217">
        <v>8.73326517596539</v>
      </c>
      <c r="L217">
        <v>1</v>
      </c>
    </row>
    <row r="218" spans="1:12">
      <c r="A218">
        <v>0</v>
      </c>
      <c r="B218">
        <v>62.5</v>
      </c>
      <c r="C218">
        <v>5.8</v>
      </c>
      <c r="D218">
        <v>49.8</v>
      </c>
      <c r="E218">
        <v>21.8</v>
      </c>
      <c r="F218">
        <v>4.5</v>
      </c>
      <c r="G218">
        <v>0.850790029374404</v>
      </c>
      <c r="H218">
        <v>27.1</v>
      </c>
      <c r="I218">
        <v>103.136080831566</v>
      </c>
      <c r="J218">
        <v>5.17209337419934</v>
      </c>
      <c r="K218">
        <v>8.31448581048794</v>
      </c>
      <c r="L218">
        <v>1</v>
      </c>
    </row>
    <row r="219" spans="1:12">
      <c r="A219">
        <v>0</v>
      </c>
      <c r="B219">
        <v>65</v>
      </c>
      <c r="C219">
        <v>5.8</v>
      </c>
      <c r="D219">
        <v>53</v>
      </c>
      <c r="E219">
        <v>21.8</v>
      </c>
      <c r="F219">
        <v>4.5</v>
      </c>
      <c r="G219">
        <v>0.831152647810126</v>
      </c>
      <c r="H219">
        <v>28.9</v>
      </c>
      <c r="I219">
        <v>109.505314961102</v>
      </c>
      <c r="J219">
        <v>5.05511884994467</v>
      </c>
      <c r="K219">
        <v>7.80320772483464</v>
      </c>
      <c r="L219">
        <v>1</v>
      </c>
    </row>
    <row r="220" spans="1:12">
      <c r="A220">
        <v>0</v>
      </c>
      <c r="B220">
        <v>67.5</v>
      </c>
      <c r="C220">
        <v>5.8</v>
      </c>
      <c r="D220">
        <v>56.8</v>
      </c>
      <c r="E220">
        <v>21.8</v>
      </c>
      <c r="F220">
        <v>4.5</v>
      </c>
      <c r="G220">
        <v>0.809058400419842</v>
      </c>
      <c r="H220">
        <v>31.4</v>
      </c>
      <c r="I220">
        <v>112.60785784737</v>
      </c>
      <c r="J220">
        <v>4.86927542495545</v>
      </c>
      <c r="K220">
        <v>7.44739511129235</v>
      </c>
      <c r="L220">
        <v>1</v>
      </c>
    </row>
    <row r="221" spans="1:12">
      <c r="A221">
        <v>0</v>
      </c>
      <c r="B221">
        <v>70</v>
      </c>
      <c r="C221">
        <v>5.8</v>
      </c>
      <c r="D221">
        <v>59</v>
      </c>
      <c r="E221">
        <v>21.9</v>
      </c>
      <c r="F221">
        <v>4.5</v>
      </c>
      <c r="G221">
        <v>0.784179277129304</v>
      </c>
      <c r="H221">
        <v>34</v>
      </c>
      <c r="I221">
        <v>126.808913051626</v>
      </c>
      <c r="J221">
        <v>5.33392566524769</v>
      </c>
      <c r="K221">
        <v>7.15273885761815</v>
      </c>
      <c r="L221">
        <v>1</v>
      </c>
    </row>
    <row r="222" spans="1:12">
      <c r="A222">
        <v>0</v>
      </c>
      <c r="B222">
        <v>45</v>
      </c>
      <c r="C222">
        <v>4.7</v>
      </c>
      <c r="D222">
        <v>31.8</v>
      </c>
      <c r="E222">
        <v>21.9</v>
      </c>
      <c r="F222">
        <v>4.5</v>
      </c>
      <c r="G222">
        <v>0.93913980595102</v>
      </c>
      <c r="H222">
        <v>13.3</v>
      </c>
      <c r="I222">
        <v>47.013967471059</v>
      </c>
      <c r="J222">
        <v>4.77303261763451</v>
      </c>
      <c r="K222">
        <v>14.8155007050487</v>
      </c>
      <c r="L222">
        <v>1</v>
      </c>
    </row>
    <row r="223" spans="1:12">
      <c r="A223">
        <v>0</v>
      </c>
      <c r="B223">
        <v>47.5</v>
      </c>
      <c r="C223">
        <v>4.7</v>
      </c>
      <c r="D223">
        <v>33.9</v>
      </c>
      <c r="E223">
        <v>21.9</v>
      </c>
      <c r="F223">
        <v>4.5</v>
      </c>
      <c r="G223">
        <v>0.930523923822277</v>
      </c>
      <c r="H223">
        <v>14.8</v>
      </c>
      <c r="I223">
        <v>52.2414837781848</v>
      </c>
      <c r="J223">
        <v>4.58682472466626</v>
      </c>
      <c r="K223">
        <v>14.0741109912832</v>
      </c>
      <c r="L223">
        <v>1</v>
      </c>
    </row>
    <row r="224" spans="1:12">
      <c r="A224">
        <v>0</v>
      </c>
      <c r="B224">
        <v>50</v>
      </c>
      <c r="C224">
        <v>4.7</v>
      </c>
      <c r="D224">
        <v>36.2</v>
      </c>
      <c r="E224">
        <v>21.9</v>
      </c>
      <c r="F224">
        <v>4.5</v>
      </c>
      <c r="G224">
        <v>0.920818198615511</v>
      </c>
      <c r="H224">
        <v>17</v>
      </c>
      <c r="I224">
        <v>57.7721448600747</v>
      </c>
      <c r="J224">
        <v>4.57328683884571</v>
      </c>
      <c r="K224">
        <v>13.5768797129325</v>
      </c>
      <c r="L224">
        <v>1</v>
      </c>
    </row>
    <row r="225" spans="1:12">
      <c r="A225">
        <v>0</v>
      </c>
      <c r="B225">
        <v>52.5</v>
      </c>
      <c r="C225">
        <v>4.7</v>
      </c>
      <c r="D225">
        <v>38.5</v>
      </c>
      <c r="E225">
        <v>21.9</v>
      </c>
      <c r="F225">
        <v>4.5</v>
      </c>
      <c r="G225">
        <v>0.909893599259399</v>
      </c>
      <c r="H225">
        <v>18.9</v>
      </c>
      <c r="I225">
        <v>63.6962279267396</v>
      </c>
      <c r="J225">
        <v>4.54731080575747</v>
      </c>
      <c r="K225">
        <v>12.8878638210405</v>
      </c>
      <c r="L225">
        <v>1</v>
      </c>
    </row>
    <row r="226" spans="1:12">
      <c r="A226">
        <v>0</v>
      </c>
      <c r="B226">
        <v>55</v>
      </c>
      <c r="C226">
        <v>4.7</v>
      </c>
      <c r="D226">
        <v>39.8</v>
      </c>
      <c r="E226">
        <v>21.8</v>
      </c>
      <c r="F226">
        <v>4.5</v>
      </c>
      <c r="G226">
        <v>0.89760467536325</v>
      </c>
      <c r="H226">
        <v>20.6</v>
      </c>
      <c r="I226">
        <v>72.9535988834022</v>
      </c>
      <c r="J226">
        <v>4.81865199849375</v>
      </c>
      <c r="K226">
        <v>12.1550715362005</v>
      </c>
      <c r="L226">
        <v>1</v>
      </c>
    </row>
    <row r="227" spans="1:12">
      <c r="A227">
        <v>0</v>
      </c>
      <c r="B227">
        <v>57.5</v>
      </c>
      <c r="C227">
        <v>4.7</v>
      </c>
      <c r="D227">
        <v>41.8</v>
      </c>
      <c r="E227">
        <v>21.8</v>
      </c>
      <c r="F227">
        <v>4.5</v>
      </c>
      <c r="G227">
        <v>0.883786850160418</v>
      </c>
      <c r="H227">
        <v>22.6</v>
      </c>
      <c r="I227">
        <v>81.2683018644208</v>
      </c>
      <c r="J227">
        <v>4.98351411704369</v>
      </c>
      <c r="K227">
        <v>11.4585559518965</v>
      </c>
      <c r="L227">
        <v>1</v>
      </c>
    </row>
    <row r="228" spans="1:12">
      <c r="A228">
        <v>0</v>
      </c>
      <c r="B228">
        <v>60</v>
      </c>
      <c r="C228">
        <v>4.7</v>
      </c>
      <c r="D228">
        <v>44.1</v>
      </c>
      <c r="E228">
        <v>21.8</v>
      </c>
      <c r="F228">
        <v>4.5</v>
      </c>
      <c r="G228">
        <v>0.868253123396246</v>
      </c>
      <c r="H228">
        <v>24.1</v>
      </c>
      <c r="I228">
        <v>89.449392807477</v>
      </c>
      <c r="J228">
        <v>5.00056883152608</v>
      </c>
      <c r="K228">
        <v>10.6844293845094</v>
      </c>
      <c r="L228">
        <v>1</v>
      </c>
    </row>
    <row r="229" spans="1:12">
      <c r="A229">
        <v>0</v>
      </c>
      <c r="B229">
        <v>62.5</v>
      </c>
      <c r="C229">
        <v>4.7</v>
      </c>
      <c r="D229">
        <v>47.2</v>
      </c>
      <c r="E229">
        <v>21.8</v>
      </c>
      <c r="F229">
        <v>4.5</v>
      </c>
      <c r="G229">
        <v>0.850790029374404</v>
      </c>
      <c r="H229">
        <v>25.9</v>
      </c>
      <c r="I229">
        <v>95.8706928525709</v>
      </c>
      <c r="J229">
        <v>4.88508204888802</v>
      </c>
      <c r="K229">
        <v>10.0206279438596</v>
      </c>
      <c r="L229">
        <v>1</v>
      </c>
    </row>
    <row r="230" spans="1:12">
      <c r="A230">
        <v>0</v>
      </c>
      <c r="B230">
        <v>65</v>
      </c>
      <c r="C230">
        <v>4.7</v>
      </c>
      <c r="D230">
        <v>51</v>
      </c>
      <c r="E230">
        <v>21.9</v>
      </c>
      <c r="F230">
        <v>4.5</v>
      </c>
      <c r="G230">
        <v>0.831152647810126</v>
      </c>
      <c r="H230">
        <v>27.4</v>
      </c>
      <c r="I230">
        <v>99.8405972176752</v>
      </c>
      <c r="J230">
        <v>4.59771509835775</v>
      </c>
      <c r="K230">
        <v>9.32692714840456</v>
      </c>
      <c r="L230">
        <v>1</v>
      </c>
    </row>
    <row r="231" spans="1:12">
      <c r="A231">
        <v>0</v>
      </c>
      <c r="B231">
        <v>67.5</v>
      </c>
      <c r="C231">
        <v>4.7</v>
      </c>
      <c r="D231">
        <v>54.6</v>
      </c>
      <c r="E231">
        <v>21.9</v>
      </c>
      <c r="F231">
        <v>4.5</v>
      </c>
      <c r="G231">
        <v>0.809058400419842</v>
      </c>
      <c r="H231">
        <v>29.1</v>
      </c>
      <c r="I231">
        <v>104.627647615918</v>
      </c>
      <c r="J231">
        <v>4.41770670873312</v>
      </c>
      <c r="K231">
        <v>8.75695838773854</v>
      </c>
      <c r="L231">
        <v>1</v>
      </c>
    </row>
    <row r="232" spans="1:12">
      <c r="A232">
        <v>0</v>
      </c>
      <c r="B232">
        <v>70</v>
      </c>
      <c r="C232">
        <v>4.7</v>
      </c>
      <c r="D232">
        <v>57.9</v>
      </c>
      <c r="E232">
        <v>21.9</v>
      </c>
      <c r="F232">
        <v>4.5</v>
      </c>
      <c r="G232">
        <v>0.784179277129304</v>
      </c>
      <c r="H232">
        <v>30.7</v>
      </c>
      <c r="I232">
        <v>110.984645481116</v>
      </c>
      <c r="J232">
        <v>4.3382390212186</v>
      </c>
      <c r="K232">
        <v>8.22633361319752</v>
      </c>
      <c r="L232">
        <v>1</v>
      </c>
    </row>
    <row r="233" spans="1:12">
      <c r="A233">
        <v>0</v>
      </c>
      <c r="B233">
        <v>45</v>
      </c>
      <c r="C233">
        <v>4.7</v>
      </c>
      <c r="D233">
        <v>27.8</v>
      </c>
      <c r="E233">
        <v>22</v>
      </c>
      <c r="F233">
        <v>8</v>
      </c>
      <c r="G233">
        <v>0.93913980595102</v>
      </c>
      <c r="H233">
        <v>15.6</v>
      </c>
      <c r="I233">
        <v>64.5154664392092</v>
      </c>
      <c r="J233">
        <v>9.82337018597272</v>
      </c>
      <c r="K233">
        <v>28.1499586665025</v>
      </c>
      <c r="L233">
        <v>1</v>
      </c>
    </row>
    <row r="234" spans="1:12">
      <c r="A234">
        <v>0</v>
      </c>
      <c r="B234">
        <v>47.5</v>
      </c>
      <c r="C234">
        <v>4.7</v>
      </c>
      <c r="D234">
        <v>34.1</v>
      </c>
      <c r="E234">
        <v>22</v>
      </c>
      <c r="F234">
        <v>8</v>
      </c>
      <c r="G234">
        <v>0.930523923822277</v>
      </c>
      <c r="H234">
        <v>17.7</v>
      </c>
      <c r="I234">
        <v>62.5123895923657</v>
      </c>
      <c r="J234">
        <v>6.38326685469984</v>
      </c>
      <c r="K234">
        <v>27.1126486567938</v>
      </c>
      <c r="L234">
        <v>1</v>
      </c>
    </row>
    <row r="235" spans="1:12">
      <c r="A235">
        <v>0</v>
      </c>
      <c r="B235">
        <v>50</v>
      </c>
      <c r="C235">
        <v>4.7</v>
      </c>
      <c r="D235">
        <v>36.2</v>
      </c>
      <c r="E235">
        <v>22</v>
      </c>
      <c r="F235">
        <v>8</v>
      </c>
      <c r="G235">
        <v>0.0990296017182033</v>
      </c>
      <c r="H235">
        <v>19.2</v>
      </c>
      <c r="I235">
        <v>68.5290641961344</v>
      </c>
      <c r="J235">
        <v>6.07231270151921</v>
      </c>
      <c r="K235">
        <v>25.3987158973564</v>
      </c>
      <c r="L235">
        <v>1</v>
      </c>
    </row>
    <row r="236" spans="1:12">
      <c r="A236">
        <v>0</v>
      </c>
      <c r="B236">
        <v>52.5</v>
      </c>
      <c r="C236">
        <v>4.7</v>
      </c>
      <c r="D236">
        <v>37.9</v>
      </c>
      <c r="E236">
        <v>22</v>
      </c>
      <c r="F236">
        <v>8</v>
      </c>
      <c r="G236">
        <v>0.909893599259399</v>
      </c>
      <c r="H236">
        <v>20.5</v>
      </c>
      <c r="I236">
        <v>76.0466215348893</v>
      </c>
      <c r="J236">
        <v>5.97718732631522</v>
      </c>
      <c r="K236">
        <v>23.6199225104258</v>
      </c>
      <c r="L236">
        <v>1</v>
      </c>
    </row>
    <row r="237" spans="1:12">
      <c r="A237">
        <v>0</v>
      </c>
      <c r="B237">
        <v>55</v>
      </c>
      <c r="C237">
        <v>4.7</v>
      </c>
      <c r="D237">
        <v>39.2</v>
      </c>
      <c r="E237">
        <v>22</v>
      </c>
      <c r="F237">
        <v>8</v>
      </c>
      <c r="G237">
        <v>0.89760467536325</v>
      </c>
      <c r="H237">
        <v>21.5</v>
      </c>
      <c r="I237">
        <v>85.2988122271598</v>
      </c>
      <c r="J237">
        <v>6.02422634564532</v>
      </c>
      <c r="K237">
        <v>21.7980748545163</v>
      </c>
      <c r="L237">
        <v>1</v>
      </c>
    </row>
    <row r="238" spans="1:12">
      <c r="A238">
        <v>0</v>
      </c>
      <c r="B238">
        <v>57.5</v>
      </c>
      <c r="C238">
        <v>4.7</v>
      </c>
      <c r="D238">
        <v>40.5</v>
      </c>
      <c r="E238">
        <v>22</v>
      </c>
      <c r="F238">
        <v>8</v>
      </c>
      <c r="G238">
        <v>0.883786850160418</v>
      </c>
      <c r="H238">
        <v>23.5</v>
      </c>
      <c r="I238">
        <v>96.0458131434696</v>
      </c>
      <c r="J238">
        <v>6.39612042534582</v>
      </c>
      <c r="K238">
        <v>20.487799453539</v>
      </c>
      <c r="L238">
        <v>1</v>
      </c>
    </row>
    <row r="239" spans="1:12">
      <c r="A239">
        <v>0</v>
      </c>
      <c r="B239">
        <v>60</v>
      </c>
      <c r="C239">
        <v>4.7</v>
      </c>
      <c r="D239">
        <v>42.3</v>
      </c>
      <c r="E239">
        <v>21.9</v>
      </c>
      <c r="F239">
        <v>8</v>
      </c>
      <c r="G239">
        <v>0.868253123396246</v>
      </c>
      <c r="H239">
        <v>25</v>
      </c>
      <c r="I239">
        <v>106.380682411063</v>
      </c>
      <c r="J239">
        <v>6.45457752853967</v>
      </c>
      <c r="K239">
        <v>19.1542896788072</v>
      </c>
      <c r="L239">
        <v>1</v>
      </c>
    </row>
    <row r="240" spans="1:12">
      <c r="A240">
        <v>0</v>
      </c>
      <c r="B240">
        <v>62.5</v>
      </c>
      <c r="C240">
        <v>4.7</v>
      </c>
      <c r="D240">
        <v>43.9</v>
      </c>
      <c r="E240">
        <v>21.9</v>
      </c>
      <c r="F240">
        <v>8</v>
      </c>
      <c r="G240">
        <v>0.850790029374404</v>
      </c>
      <c r="H240">
        <v>26.6</v>
      </c>
      <c r="I240">
        <v>118.405360790263</v>
      </c>
      <c r="J240">
        <v>6.68968270607852</v>
      </c>
      <c r="K240">
        <v>17.8566893960909</v>
      </c>
      <c r="L240">
        <v>1</v>
      </c>
    </row>
    <row r="241" spans="1:12">
      <c r="A241">
        <v>0</v>
      </c>
      <c r="B241">
        <v>65</v>
      </c>
      <c r="C241">
        <v>4.7</v>
      </c>
      <c r="D241">
        <v>47.2</v>
      </c>
      <c r="E241">
        <v>21.9</v>
      </c>
      <c r="F241">
        <v>8</v>
      </c>
      <c r="G241">
        <v>0.831152647810126</v>
      </c>
      <c r="H241">
        <v>28.1</v>
      </c>
      <c r="I241">
        <v>126.172722276089</v>
      </c>
      <c r="J241">
        <v>6.40362328328846</v>
      </c>
      <c r="K241">
        <v>16.6786784740244</v>
      </c>
      <c r="L241">
        <v>1</v>
      </c>
    </row>
    <row r="242" spans="1:12">
      <c r="A242">
        <v>0</v>
      </c>
      <c r="B242">
        <v>67.5</v>
      </c>
      <c r="C242">
        <v>4.7</v>
      </c>
      <c r="D242">
        <v>51.2</v>
      </c>
      <c r="E242">
        <v>21.9</v>
      </c>
      <c r="F242">
        <v>8</v>
      </c>
      <c r="G242">
        <v>0.809058400419842</v>
      </c>
      <c r="H242">
        <v>30.3</v>
      </c>
      <c r="I242">
        <v>132.14042492139</v>
      </c>
      <c r="J242">
        <v>6.13258697920611</v>
      </c>
      <c r="K242">
        <v>15.8193932010035</v>
      </c>
      <c r="L242">
        <v>1</v>
      </c>
    </row>
    <row r="243" spans="1:12">
      <c r="A243">
        <v>0</v>
      </c>
      <c r="B243">
        <v>70</v>
      </c>
      <c r="C243">
        <v>4.7</v>
      </c>
      <c r="D243">
        <v>54.5</v>
      </c>
      <c r="E243">
        <v>21.9</v>
      </c>
      <c r="F243">
        <v>8</v>
      </c>
      <c r="G243">
        <v>0.784179277129304</v>
      </c>
      <c r="H243">
        <v>32.4</v>
      </c>
      <c r="I243">
        <v>141.237851372011</v>
      </c>
      <c r="J243">
        <v>6.1062519939889</v>
      </c>
      <c r="K243">
        <v>15.0434678711803</v>
      </c>
      <c r="L243">
        <v>1</v>
      </c>
    </row>
    <row r="244" spans="1:12">
      <c r="A244">
        <v>0</v>
      </c>
      <c r="B244">
        <v>45</v>
      </c>
      <c r="C244">
        <v>5.8</v>
      </c>
      <c r="D244">
        <v>29.3</v>
      </c>
      <c r="E244">
        <v>21.6</v>
      </c>
      <c r="F244">
        <v>8</v>
      </c>
      <c r="G244">
        <v>0.93913980595102</v>
      </c>
      <c r="H244">
        <v>17.6</v>
      </c>
      <c r="I244">
        <v>73.0128701261774</v>
      </c>
      <c r="J244">
        <v>10.8890015449567</v>
      </c>
      <c r="K244">
        <v>24.6131497512467</v>
      </c>
      <c r="L244">
        <v>1</v>
      </c>
    </row>
    <row r="245" spans="1:12">
      <c r="A245">
        <v>0</v>
      </c>
      <c r="B245">
        <v>47.5</v>
      </c>
      <c r="C245">
        <v>5.8</v>
      </c>
      <c r="D245">
        <v>31.4</v>
      </c>
      <c r="E245">
        <v>21.6</v>
      </c>
      <c r="F245">
        <v>8</v>
      </c>
      <c r="G245">
        <v>0.930523923822277</v>
      </c>
      <c r="H245">
        <v>19.8</v>
      </c>
      <c r="I245">
        <v>80.4329569162984</v>
      </c>
      <c r="J245">
        <v>10.3061489916623</v>
      </c>
      <c r="K245">
        <v>23.4044279749287</v>
      </c>
      <c r="L245">
        <v>1</v>
      </c>
    </row>
    <row r="246" spans="1:12">
      <c r="A246">
        <v>0</v>
      </c>
      <c r="B246">
        <v>50</v>
      </c>
      <c r="C246">
        <v>5.8</v>
      </c>
      <c r="D246">
        <v>34</v>
      </c>
      <c r="E246">
        <v>21.6</v>
      </c>
      <c r="F246">
        <v>8</v>
      </c>
      <c r="G246">
        <v>0.920818198615511</v>
      </c>
      <c r="H246">
        <v>20.7</v>
      </c>
      <c r="I246">
        <v>86.5121377310542</v>
      </c>
      <c r="J246">
        <v>8.77041910080396</v>
      </c>
      <c r="K246">
        <v>21.5656464342652</v>
      </c>
      <c r="L246">
        <v>1</v>
      </c>
    </row>
    <row r="247" spans="1:12">
      <c r="A247">
        <v>0</v>
      </c>
      <c r="B247">
        <v>52.5</v>
      </c>
      <c r="C247">
        <v>5.8</v>
      </c>
      <c r="D247">
        <v>37.5</v>
      </c>
      <c r="E247">
        <v>21.7</v>
      </c>
      <c r="F247">
        <v>8</v>
      </c>
      <c r="G247">
        <v>0.909893599259399</v>
      </c>
      <c r="H247">
        <v>21.5</v>
      </c>
      <c r="I247">
        <v>90.3202119819463</v>
      </c>
      <c r="J247">
        <v>7.36450915551995</v>
      </c>
      <c r="K247">
        <v>19.7789317978601</v>
      </c>
      <c r="L247">
        <v>1</v>
      </c>
    </row>
    <row r="248" spans="1:12">
      <c r="A248">
        <v>0</v>
      </c>
      <c r="B248">
        <v>55</v>
      </c>
      <c r="C248">
        <v>5.8</v>
      </c>
      <c r="D248">
        <v>40.5</v>
      </c>
      <c r="E248">
        <v>21.7</v>
      </c>
      <c r="F248">
        <v>8</v>
      </c>
      <c r="G248">
        <v>0.89760467536325</v>
      </c>
      <c r="H248">
        <v>22.5</v>
      </c>
      <c r="I248">
        <v>96.0494513006808</v>
      </c>
      <c r="J248">
        <v>6.6551552518265</v>
      </c>
      <c r="K248">
        <v>18.2791045810448</v>
      </c>
      <c r="L248">
        <v>1</v>
      </c>
    </row>
    <row r="249" spans="1:12">
      <c r="A249">
        <v>0</v>
      </c>
      <c r="B249">
        <v>57.5</v>
      </c>
      <c r="C249">
        <v>5.8</v>
      </c>
      <c r="D249">
        <v>42.1</v>
      </c>
      <c r="E249">
        <v>21.8</v>
      </c>
      <c r="F249">
        <v>8</v>
      </c>
      <c r="G249">
        <v>0.883786850160418</v>
      </c>
      <c r="H249">
        <v>23.9</v>
      </c>
      <c r="I249">
        <v>107.456428031419</v>
      </c>
      <c r="J249">
        <v>6.85851845806082</v>
      </c>
      <c r="K249">
        <v>16.9061099909296</v>
      </c>
      <c r="L249">
        <v>1</v>
      </c>
    </row>
    <row r="250" spans="1:12">
      <c r="A250">
        <v>0</v>
      </c>
      <c r="B250">
        <v>60</v>
      </c>
      <c r="C250">
        <v>5.8</v>
      </c>
      <c r="D250">
        <v>43.9</v>
      </c>
      <c r="E250">
        <v>21.8</v>
      </c>
      <c r="F250">
        <v>8</v>
      </c>
      <c r="G250">
        <v>0.868253123396246</v>
      </c>
      <c r="H250">
        <v>25.4</v>
      </c>
      <c r="I250">
        <v>119.582966983577</v>
      </c>
      <c r="J250">
        <v>7.02238034988798</v>
      </c>
      <c r="K250">
        <v>15.7305881351113</v>
      </c>
      <c r="L250">
        <v>1</v>
      </c>
    </row>
    <row r="251" spans="1:12">
      <c r="A251">
        <v>0</v>
      </c>
      <c r="B251">
        <v>62.5</v>
      </c>
      <c r="C251">
        <v>5.8</v>
      </c>
      <c r="D251">
        <v>46.1</v>
      </c>
      <c r="E251">
        <v>21.8</v>
      </c>
      <c r="F251">
        <v>8</v>
      </c>
      <c r="G251">
        <v>0.850790029374404</v>
      </c>
      <c r="H251">
        <v>27</v>
      </c>
      <c r="I251">
        <v>131.537307221923</v>
      </c>
      <c r="J251">
        <v>7.1114592542387</v>
      </c>
      <c r="K251">
        <v>14.6742334586464</v>
      </c>
      <c r="L251">
        <v>1</v>
      </c>
    </row>
    <row r="252" spans="1:12">
      <c r="A252">
        <v>0</v>
      </c>
      <c r="B252">
        <v>65</v>
      </c>
      <c r="C252">
        <v>5.8</v>
      </c>
      <c r="D252">
        <v>48.4</v>
      </c>
      <c r="E252">
        <v>21.8</v>
      </c>
      <c r="F252">
        <v>8</v>
      </c>
      <c r="G252">
        <v>0.831152647810126</v>
      </c>
      <c r="H252">
        <v>29.4</v>
      </c>
      <c r="I252">
        <v>144.822522324778</v>
      </c>
      <c r="J252">
        <v>7.42489937580696</v>
      </c>
      <c r="K252">
        <v>13.8941852249314</v>
      </c>
      <c r="L252">
        <v>1</v>
      </c>
    </row>
    <row r="253" spans="1:12">
      <c r="A253">
        <v>0</v>
      </c>
      <c r="B253">
        <v>67.5</v>
      </c>
      <c r="C253">
        <v>5.8</v>
      </c>
      <c r="D253">
        <v>49.8</v>
      </c>
      <c r="E253">
        <v>21.8</v>
      </c>
      <c r="F253">
        <v>8</v>
      </c>
      <c r="G253">
        <v>0.809058400419842</v>
      </c>
      <c r="H253">
        <v>31.2</v>
      </c>
      <c r="I253">
        <v>163.652967132717</v>
      </c>
      <c r="J253">
        <v>7.97724401115516</v>
      </c>
      <c r="K253">
        <v>13.0519675019575</v>
      </c>
      <c r="L253">
        <v>1</v>
      </c>
    </row>
    <row r="254" spans="1:12">
      <c r="A254">
        <v>0</v>
      </c>
      <c r="B254">
        <v>70</v>
      </c>
      <c r="C254">
        <v>5.8</v>
      </c>
      <c r="D254">
        <v>51.6</v>
      </c>
      <c r="E254">
        <v>21.9</v>
      </c>
      <c r="F254">
        <v>8</v>
      </c>
      <c r="G254">
        <v>0.784179277129304</v>
      </c>
      <c r="H254">
        <v>34.3</v>
      </c>
      <c r="I254">
        <v>183.695202307445</v>
      </c>
      <c r="J254">
        <v>8.85524620167969</v>
      </c>
      <c r="K254">
        <v>12.6677678734052</v>
      </c>
      <c r="L254">
        <v>1</v>
      </c>
    </row>
    <row r="255" spans="1:12">
      <c r="A255">
        <v>0</v>
      </c>
      <c r="B255">
        <v>45</v>
      </c>
      <c r="C255">
        <v>7.2</v>
      </c>
      <c r="D255">
        <v>38.2</v>
      </c>
      <c r="E255">
        <v>21.9</v>
      </c>
      <c r="F255">
        <v>8</v>
      </c>
      <c r="G255">
        <v>0.93913980595102</v>
      </c>
      <c r="H255">
        <v>18.3</v>
      </c>
      <c r="I255">
        <v>55.1279035004573</v>
      </c>
      <c r="J255">
        <v>5.86057163176584</v>
      </c>
      <c r="K255">
        <v>20.2123452676382</v>
      </c>
      <c r="L255">
        <v>1</v>
      </c>
    </row>
    <row r="256" spans="1:12">
      <c r="A256">
        <v>0</v>
      </c>
      <c r="B256">
        <v>47.5</v>
      </c>
      <c r="C256">
        <v>7.2</v>
      </c>
      <c r="D256">
        <v>39.6</v>
      </c>
      <c r="E256">
        <v>21.9</v>
      </c>
      <c r="F256">
        <v>8</v>
      </c>
      <c r="G256">
        <v>0.930523923822277</v>
      </c>
      <c r="H256">
        <v>19.3</v>
      </c>
      <c r="I256">
        <v>63.9742164110367</v>
      </c>
      <c r="J256">
        <v>5.79704610187322</v>
      </c>
      <c r="K256">
        <v>18.6451434211125</v>
      </c>
      <c r="L256">
        <v>1</v>
      </c>
    </row>
    <row r="257" spans="1:12">
      <c r="A257">
        <v>0</v>
      </c>
      <c r="B257">
        <v>50</v>
      </c>
      <c r="C257">
        <v>7.2</v>
      </c>
      <c r="D257">
        <v>40.4</v>
      </c>
      <c r="E257">
        <v>21.9</v>
      </c>
      <c r="F257">
        <v>8</v>
      </c>
      <c r="G257">
        <v>0.920818198615511</v>
      </c>
      <c r="H257">
        <v>20</v>
      </c>
      <c r="I257">
        <v>76.4418653684547</v>
      </c>
      <c r="J257">
        <v>6.07056216404571</v>
      </c>
      <c r="K257">
        <v>17.0673372947</v>
      </c>
      <c r="L257">
        <v>1</v>
      </c>
    </row>
    <row r="258" spans="1:12">
      <c r="A258">
        <v>0</v>
      </c>
      <c r="B258">
        <v>52.5</v>
      </c>
      <c r="C258">
        <v>7.2</v>
      </c>
      <c r="D258">
        <v>41</v>
      </c>
      <c r="E258">
        <v>21.8</v>
      </c>
      <c r="F258">
        <v>8</v>
      </c>
      <c r="G258">
        <v>0.909893599259399</v>
      </c>
      <c r="H258">
        <v>21.2</v>
      </c>
      <c r="I258">
        <v>91.5951700804727</v>
      </c>
      <c r="J258">
        <v>6.64412931819555</v>
      </c>
      <c r="K258">
        <v>15.8567325223025</v>
      </c>
      <c r="L258">
        <v>1</v>
      </c>
    </row>
    <row r="259" spans="1:12">
      <c r="A259">
        <v>0</v>
      </c>
      <c r="B259">
        <v>55</v>
      </c>
      <c r="C259">
        <v>7.2</v>
      </c>
      <c r="D259">
        <v>42.6</v>
      </c>
      <c r="E259">
        <v>21.7</v>
      </c>
      <c r="F259">
        <v>8</v>
      </c>
      <c r="G259">
        <v>0.89760467536325</v>
      </c>
      <c r="H259">
        <v>22.4</v>
      </c>
      <c r="I259">
        <v>103.784241647988</v>
      </c>
      <c r="J259">
        <v>6.75621267061932</v>
      </c>
      <c r="K259">
        <v>14.7453690171089</v>
      </c>
      <c r="L259">
        <v>1</v>
      </c>
    </row>
    <row r="260" spans="1:12">
      <c r="A260">
        <v>0</v>
      </c>
      <c r="B260">
        <v>57.5</v>
      </c>
      <c r="C260">
        <v>7.2</v>
      </c>
      <c r="D260">
        <v>44.7</v>
      </c>
      <c r="E260">
        <v>21.7</v>
      </c>
      <c r="F260">
        <v>8</v>
      </c>
      <c r="G260">
        <v>0.883786850160418</v>
      </c>
      <c r="H260">
        <v>23.9</v>
      </c>
      <c r="I260">
        <v>114.986790319791</v>
      </c>
      <c r="J260">
        <v>6.82623551556239</v>
      </c>
      <c r="K260">
        <v>13.7316314359153</v>
      </c>
      <c r="L260">
        <v>1</v>
      </c>
    </row>
    <row r="261" spans="1:12">
      <c r="A261">
        <v>0</v>
      </c>
      <c r="B261">
        <v>60</v>
      </c>
      <c r="C261">
        <v>7.2</v>
      </c>
      <c r="D261">
        <v>47.3</v>
      </c>
      <c r="E261">
        <v>21.7</v>
      </c>
      <c r="F261">
        <v>8</v>
      </c>
      <c r="G261">
        <v>0.868253123396246</v>
      </c>
      <c r="H261">
        <v>25.3</v>
      </c>
      <c r="I261">
        <v>124.728819987934</v>
      </c>
      <c r="J261">
        <v>6.70806436648425</v>
      </c>
      <c r="K261">
        <v>12.7699448730056</v>
      </c>
      <c r="L261">
        <v>1</v>
      </c>
    </row>
    <row r="262" spans="1:12">
      <c r="A262">
        <v>0</v>
      </c>
      <c r="B262">
        <v>62.5</v>
      </c>
      <c r="C262">
        <v>7.2</v>
      </c>
      <c r="D262">
        <v>50.5</v>
      </c>
      <c r="E262">
        <v>21.7</v>
      </c>
      <c r="F262">
        <v>8</v>
      </c>
      <c r="G262">
        <v>0.850790029374404</v>
      </c>
      <c r="H262">
        <v>27.5</v>
      </c>
      <c r="I262">
        <v>132.136073017283</v>
      </c>
      <c r="J262">
        <v>6.58644064583972</v>
      </c>
      <c r="K262">
        <v>12.0460416697384</v>
      </c>
      <c r="L262">
        <v>1</v>
      </c>
    </row>
    <row r="263" spans="1:12">
      <c r="A263">
        <v>0</v>
      </c>
      <c r="B263">
        <v>65</v>
      </c>
      <c r="C263">
        <v>7.2</v>
      </c>
      <c r="D263">
        <v>54.1</v>
      </c>
      <c r="E263">
        <v>21.7</v>
      </c>
      <c r="F263">
        <v>8</v>
      </c>
      <c r="G263">
        <v>0.831152647810126</v>
      </c>
      <c r="H263">
        <v>29.5</v>
      </c>
      <c r="I263">
        <v>136.915380173327</v>
      </c>
      <c r="J263">
        <v>6.28257444276756</v>
      </c>
      <c r="K263">
        <v>11.350599932253</v>
      </c>
      <c r="L263">
        <v>1</v>
      </c>
    </row>
    <row r="264" spans="1:12">
      <c r="A264">
        <v>0</v>
      </c>
      <c r="B264">
        <v>67.5</v>
      </c>
      <c r="C264">
        <v>7.2</v>
      </c>
      <c r="D264">
        <v>57</v>
      </c>
      <c r="E264">
        <v>21.8</v>
      </c>
      <c r="F264">
        <v>8</v>
      </c>
      <c r="G264">
        <v>0.809058400419842</v>
      </c>
      <c r="H264">
        <v>31.4</v>
      </c>
      <c r="I264">
        <v>146.93931976053</v>
      </c>
      <c r="J264">
        <v>6.33306039336991</v>
      </c>
      <c r="K264">
        <v>10.6685854968608</v>
      </c>
      <c r="L264">
        <v>1</v>
      </c>
    </row>
    <row r="265" spans="1:12">
      <c r="A265">
        <v>0</v>
      </c>
      <c r="B265">
        <v>70</v>
      </c>
      <c r="C265">
        <v>7.2</v>
      </c>
      <c r="D265">
        <v>59</v>
      </c>
      <c r="E265">
        <v>21.9</v>
      </c>
      <c r="F265">
        <v>8</v>
      </c>
      <c r="G265">
        <v>0.784179277129304</v>
      </c>
      <c r="H265">
        <v>33.2</v>
      </c>
      <c r="I265">
        <v>166.110893338792</v>
      </c>
      <c r="J265">
        <v>6.82592876993588</v>
      </c>
      <c r="K265">
        <v>10.0571515760389</v>
      </c>
      <c r="L265">
        <v>1</v>
      </c>
    </row>
  </sheetData>
  <sortState ref="A1:L1225">
    <sortCondition ref="L1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1"/>
  <sheetViews>
    <sheetView topLeftCell="A10" workbookViewId="0">
      <selection activeCell="A1" sqref="A1:L221"/>
    </sheetView>
  </sheetViews>
  <sheetFormatPr defaultColWidth="9" defaultRowHeight="15"/>
  <sheetData>
    <row r="1" spans="1:12">
      <c r="A1" s="2">
        <v>45</v>
      </c>
      <c r="B1" s="2">
        <v>4.5</v>
      </c>
      <c r="C1" s="2">
        <v>2.5</v>
      </c>
      <c r="D1" s="2">
        <v>0</v>
      </c>
      <c r="E1" s="2">
        <v>1</v>
      </c>
      <c r="F1" s="2">
        <v>20.4</v>
      </c>
      <c r="G1" s="5">
        <v>0.93913980595102</v>
      </c>
      <c r="H1" s="6">
        <v>36</v>
      </c>
      <c r="I1" s="2">
        <v>10.9</v>
      </c>
      <c r="J1" s="6">
        <v>33.8231783442324</v>
      </c>
      <c r="K1" s="10">
        <v>2.31199370599375</v>
      </c>
      <c r="L1" s="11">
        <v>0.11669992740061</v>
      </c>
    </row>
    <row r="2" spans="1:12">
      <c r="A2" s="2">
        <v>47.5</v>
      </c>
      <c r="B2" s="2">
        <v>4.5</v>
      </c>
      <c r="C2" s="2">
        <v>2.5</v>
      </c>
      <c r="D2" s="2">
        <v>0</v>
      </c>
      <c r="E2" s="2">
        <v>1</v>
      </c>
      <c r="F2" s="2">
        <v>20.4</v>
      </c>
      <c r="G2" s="5">
        <v>0.930523923822277</v>
      </c>
      <c r="H2" s="6">
        <v>38.6</v>
      </c>
      <c r="I2" s="2">
        <v>12.6</v>
      </c>
      <c r="J2" s="6">
        <v>36.7132276021732</v>
      </c>
      <c r="K2" s="10">
        <v>2.25511441756215</v>
      </c>
      <c r="L2" s="11">
        <v>0.110796974509486</v>
      </c>
    </row>
    <row r="3" spans="1:12">
      <c r="A3" s="2">
        <v>50</v>
      </c>
      <c r="B3" s="2">
        <v>4.5</v>
      </c>
      <c r="C3" s="2">
        <v>2.5</v>
      </c>
      <c r="D3" s="2">
        <v>0</v>
      </c>
      <c r="E3" s="2">
        <v>1</v>
      </c>
      <c r="F3" s="2">
        <v>20.4</v>
      </c>
      <c r="G3" s="5">
        <v>0.920818198615511</v>
      </c>
      <c r="H3" s="6">
        <v>41.5</v>
      </c>
      <c r="I3" s="2">
        <v>14.6</v>
      </c>
      <c r="J3" s="6">
        <v>39.0448998509012</v>
      </c>
      <c r="K3" s="10">
        <v>2.18410026072539</v>
      </c>
      <c r="L3" s="11">
        <v>0.105560488609496</v>
      </c>
    </row>
    <row r="4" spans="1:12">
      <c r="A4" s="2">
        <v>52.5</v>
      </c>
      <c r="B4" s="2">
        <v>4.5</v>
      </c>
      <c r="C4" s="2">
        <v>2.5</v>
      </c>
      <c r="D4" s="2">
        <v>0</v>
      </c>
      <c r="E4" s="2">
        <v>1</v>
      </c>
      <c r="F4" s="2">
        <v>20.4</v>
      </c>
      <c r="G4" s="5">
        <v>0.909893599259399</v>
      </c>
      <c r="H4" s="6">
        <v>44.6</v>
      </c>
      <c r="I4" s="2">
        <v>18</v>
      </c>
      <c r="J4" s="6">
        <v>41.0529481217829</v>
      </c>
      <c r="K4" s="10">
        <v>2.19563293750024</v>
      </c>
      <c r="L4" s="11">
        <v>0.102894069657303</v>
      </c>
    </row>
    <row r="5" spans="1:12">
      <c r="A5" s="2">
        <v>55</v>
      </c>
      <c r="B5" s="2">
        <v>4.5</v>
      </c>
      <c r="C5" s="2">
        <v>2.5</v>
      </c>
      <c r="D5" s="2">
        <v>0</v>
      </c>
      <c r="E5" s="2">
        <v>1</v>
      </c>
      <c r="F5" s="2">
        <v>20.4</v>
      </c>
      <c r="G5" s="5">
        <v>0.89760467536325</v>
      </c>
      <c r="H5" s="6">
        <v>46.6</v>
      </c>
      <c r="I5" s="2">
        <v>20.3</v>
      </c>
      <c r="J5" s="6">
        <v>46.5408449911386</v>
      </c>
      <c r="K5" s="10">
        <v>2.36651733568519</v>
      </c>
      <c r="L5" s="11">
        <v>0.0970007981312605</v>
      </c>
    </row>
    <row r="6" spans="1:12">
      <c r="A6" s="2">
        <v>57.5</v>
      </c>
      <c r="B6" s="2">
        <v>4.5</v>
      </c>
      <c r="C6" s="2">
        <v>2.5</v>
      </c>
      <c r="D6" s="2">
        <v>0</v>
      </c>
      <c r="E6" s="2">
        <v>1</v>
      </c>
      <c r="F6" s="2">
        <v>20.4</v>
      </c>
      <c r="G6" s="5">
        <v>0.883786850160418</v>
      </c>
      <c r="H6" s="6">
        <v>49.3</v>
      </c>
      <c r="I6" s="2">
        <v>22.8</v>
      </c>
      <c r="J6" s="6">
        <v>50.146733895906</v>
      </c>
      <c r="K6" s="10">
        <v>2.41496664313804</v>
      </c>
      <c r="L6" s="11">
        <v>0.0913738926226355</v>
      </c>
    </row>
    <row r="7" spans="1:12">
      <c r="A7" s="2">
        <v>60</v>
      </c>
      <c r="B7" s="2">
        <v>4.5</v>
      </c>
      <c r="C7" s="2">
        <v>2.5</v>
      </c>
      <c r="D7" s="2">
        <v>0</v>
      </c>
      <c r="E7" s="2">
        <v>1</v>
      </c>
      <c r="F7" s="2">
        <v>22.3</v>
      </c>
      <c r="G7" s="5">
        <v>0.868253123396246</v>
      </c>
      <c r="H7" s="6">
        <v>52.2</v>
      </c>
      <c r="I7" s="2">
        <v>22.2</v>
      </c>
      <c r="J7" s="6">
        <v>52.4883625609087</v>
      </c>
      <c r="K7" s="10">
        <v>2.39431614557164</v>
      </c>
      <c r="L7" s="11">
        <v>0.0796596414812436</v>
      </c>
    </row>
    <row r="8" spans="1:12">
      <c r="A8" s="2">
        <v>62.5</v>
      </c>
      <c r="B8" s="2">
        <v>4.5</v>
      </c>
      <c r="C8" s="2">
        <v>2.5</v>
      </c>
      <c r="D8" s="2">
        <v>0</v>
      </c>
      <c r="E8" s="2">
        <v>1</v>
      </c>
      <c r="F8" s="2">
        <v>22.3</v>
      </c>
      <c r="G8" s="5">
        <v>0.850790029374404</v>
      </c>
      <c r="H8" s="6">
        <v>55</v>
      </c>
      <c r="I8" s="2">
        <v>24</v>
      </c>
      <c r="J8" s="6">
        <v>55.9719977061725</v>
      </c>
      <c r="K8" s="10">
        <v>2.38132865533467</v>
      </c>
      <c r="L8" s="11">
        <v>0.0741992778442958</v>
      </c>
    </row>
    <row r="9" spans="1:12">
      <c r="A9" s="2">
        <v>65</v>
      </c>
      <c r="B9" s="2">
        <v>4.5</v>
      </c>
      <c r="C9" s="2">
        <v>2.5</v>
      </c>
      <c r="D9" s="2">
        <v>0</v>
      </c>
      <c r="E9" s="2">
        <v>1</v>
      </c>
      <c r="F9" s="2">
        <v>22.3</v>
      </c>
      <c r="G9" s="5">
        <v>0.831152647810126</v>
      </c>
      <c r="H9" s="6">
        <v>57.5</v>
      </c>
      <c r="I9" s="2">
        <v>25</v>
      </c>
      <c r="J9" s="6">
        <v>61.7797318887707</v>
      </c>
      <c r="K9" s="10">
        <v>2.428686197182</v>
      </c>
      <c r="L9" s="11">
        <v>0.0683735781086486</v>
      </c>
    </row>
    <row r="10" spans="1:12">
      <c r="A10" s="2">
        <v>67.5</v>
      </c>
      <c r="B10" s="2">
        <v>4.5</v>
      </c>
      <c r="C10" s="2">
        <v>2.5</v>
      </c>
      <c r="D10" s="2">
        <v>0</v>
      </c>
      <c r="E10" s="2">
        <v>1</v>
      </c>
      <c r="F10" s="2">
        <v>22.3</v>
      </c>
      <c r="G10" s="5">
        <v>0.809058400419842</v>
      </c>
      <c r="H10" s="6">
        <v>61.2</v>
      </c>
      <c r="I10" s="2">
        <v>26</v>
      </c>
      <c r="J10" s="6">
        <v>60.4431531476237</v>
      </c>
      <c r="K10" s="10">
        <v>2.16760656622028</v>
      </c>
      <c r="L10" s="11">
        <v>0.0631810261052094</v>
      </c>
    </row>
    <row r="11" spans="1:12">
      <c r="A11" s="2">
        <v>70</v>
      </c>
      <c r="B11" s="2">
        <v>4.5</v>
      </c>
      <c r="C11" s="2">
        <v>2.5</v>
      </c>
      <c r="D11" s="2">
        <v>0</v>
      </c>
      <c r="E11" s="2">
        <v>1</v>
      </c>
      <c r="F11" s="2">
        <v>22.4</v>
      </c>
      <c r="G11" s="5">
        <v>0.784179277129304</v>
      </c>
      <c r="H11" s="6">
        <v>64.7</v>
      </c>
      <c r="I11" s="2">
        <v>26.8</v>
      </c>
      <c r="J11" s="6">
        <v>59.1021269675123</v>
      </c>
      <c r="K11" s="10">
        <v>1.95180419874268</v>
      </c>
      <c r="L11" s="11">
        <v>0.0581776486085909</v>
      </c>
    </row>
    <row r="12" spans="1:12">
      <c r="A12" s="2">
        <v>45</v>
      </c>
      <c r="B12" s="2">
        <v>5.7</v>
      </c>
      <c r="C12" s="2">
        <v>2.5</v>
      </c>
      <c r="D12" s="2">
        <v>0</v>
      </c>
      <c r="E12" s="2">
        <v>1</v>
      </c>
      <c r="F12" s="2">
        <v>22.4</v>
      </c>
      <c r="G12" s="5">
        <v>0.93913980595102</v>
      </c>
      <c r="H12" s="6">
        <v>37.8</v>
      </c>
      <c r="I12" s="2">
        <v>13.6</v>
      </c>
      <c r="J12" s="6">
        <v>35.5455094251256</v>
      </c>
      <c r="K12" s="10">
        <v>2.98075523560178</v>
      </c>
      <c r="L12" s="11">
        <v>0.0975473746977074</v>
      </c>
    </row>
    <row r="13" spans="1:12">
      <c r="A13" s="2">
        <v>47.5</v>
      </c>
      <c r="B13" s="2">
        <v>5.7</v>
      </c>
      <c r="C13" s="2">
        <v>2.5</v>
      </c>
      <c r="D13" s="2">
        <v>0</v>
      </c>
      <c r="E13" s="2">
        <v>1</v>
      </c>
      <c r="F13" s="2">
        <v>22.4</v>
      </c>
      <c r="G13" s="5">
        <v>0.930523923822277</v>
      </c>
      <c r="H13" s="6">
        <v>41.1</v>
      </c>
      <c r="I13" s="2">
        <v>15.8</v>
      </c>
      <c r="J13" s="6">
        <v>36.2634385676425</v>
      </c>
      <c r="K13" s="10">
        <v>2.69834019994281</v>
      </c>
      <c r="L13" s="11">
        <v>0.0926119244094328</v>
      </c>
    </row>
    <row r="14" spans="1:12">
      <c r="A14" s="2">
        <v>50</v>
      </c>
      <c r="B14" s="2">
        <v>5.7</v>
      </c>
      <c r="C14" s="2">
        <v>2.5</v>
      </c>
      <c r="D14" s="2">
        <v>0</v>
      </c>
      <c r="E14" s="2">
        <v>1</v>
      </c>
      <c r="F14" s="2">
        <v>22.3</v>
      </c>
      <c r="G14" s="5">
        <v>0.920818198615511</v>
      </c>
      <c r="H14" s="6">
        <v>43.3</v>
      </c>
      <c r="I14" s="2">
        <v>18.1</v>
      </c>
      <c r="J14" s="6">
        <v>40.6405329040815</v>
      </c>
      <c r="K14" s="10">
        <v>2.79044495684865</v>
      </c>
      <c r="L14" s="11">
        <v>0.0875735317810145</v>
      </c>
    </row>
    <row r="15" spans="1:12">
      <c r="A15" s="2">
        <v>52.5</v>
      </c>
      <c r="B15" s="2">
        <v>5.7</v>
      </c>
      <c r="C15" s="2">
        <v>2.5</v>
      </c>
      <c r="D15" s="2">
        <v>0</v>
      </c>
      <c r="E15" s="2">
        <v>1</v>
      </c>
      <c r="F15" s="2">
        <v>22.2</v>
      </c>
      <c r="G15" s="5">
        <v>0.909893599259399</v>
      </c>
      <c r="H15" s="6">
        <v>44.5</v>
      </c>
      <c r="I15" s="2">
        <v>19.3</v>
      </c>
      <c r="J15" s="6">
        <v>49.8812336096783</v>
      </c>
      <c r="K15" s="10">
        <v>3.12206693634235</v>
      </c>
      <c r="L15" s="11">
        <v>0.0808383056664566</v>
      </c>
    </row>
    <row r="16" spans="1:12">
      <c r="A16" s="2">
        <v>55</v>
      </c>
      <c r="B16" s="2">
        <v>5.7</v>
      </c>
      <c r="C16" s="2">
        <v>2.5</v>
      </c>
      <c r="D16" s="2">
        <v>0</v>
      </c>
      <c r="E16" s="2">
        <v>1</v>
      </c>
      <c r="F16" s="2">
        <v>22.2</v>
      </c>
      <c r="G16" s="5">
        <v>0.89760467536325</v>
      </c>
      <c r="H16" s="6">
        <v>46.2</v>
      </c>
      <c r="I16" s="2">
        <v>21.3</v>
      </c>
      <c r="J16" s="6">
        <v>58.0511134258079</v>
      </c>
      <c r="K16" s="10">
        <v>3.41798177407221</v>
      </c>
      <c r="L16" s="11">
        <v>0.0754311490839026</v>
      </c>
    </row>
    <row r="17" spans="1:12">
      <c r="A17" s="2">
        <v>57.5</v>
      </c>
      <c r="B17" s="2">
        <v>5.7</v>
      </c>
      <c r="C17" s="2">
        <v>2.5</v>
      </c>
      <c r="D17" s="2">
        <v>0</v>
      </c>
      <c r="E17" s="2">
        <v>1</v>
      </c>
      <c r="F17" s="2">
        <v>22.2</v>
      </c>
      <c r="G17" s="5">
        <v>0.883786850160418</v>
      </c>
      <c r="H17" s="6">
        <v>49.7</v>
      </c>
      <c r="I17" s="2">
        <v>23.5</v>
      </c>
      <c r="J17" s="6">
        <v>58.7005026835845</v>
      </c>
      <c r="K17" s="10">
        <v>3.16427922938355</v>
      </c>
      <c r="L17" s="11">
        <v>0.0706197446208194</v>
      </c>
    </row>
    <row r="18" spans="1:12">
      <c r="A18" s="2">
        <v>60</v>
      </c>
      <c r="B18" s="2">
        <v>5.7</v>
      </c>
      <c r="C18" s="2">
        <v>2.5</v>
      </c>
      <c r="D18" s="2">
        <v>0</v>
      </c>
      <c r="E18" s="2">
        <v>1</v>
      </c>
      <c r="F18" s="2">
        <v>22.3</v>
      </c>
      <c r="G18" s="5">
        <v>0.868253123396246</v>
      </c>
      <c r="H18" s="6">
        <v>52.5</v>
      </c>
      <c r="I18" s="2">
        <v>25.2</v>
      </c>
      <c r="J18" s="6">
        <v>62.8306741529656</v>
      </c>
      <c r="K18" s="10">
        <v>3.13413943447274</v>
      </c>
      <c r="L18" s="11">
        <v>0.0654312169439371</v>
      </c>
    </row>
    <row r="19" spans="1:12">
      <c r="A19" s="2">
        <v>62.5</v>
      </c>
      <c r="B19" s="2">
        <v>5.7</v>
      </c>
      <c r="C19" s="2">
        <v>2.5</v>
      </c>
      <c r="D19" s="2">
        <v>0</v>
      </c>
      <c r="E19" s="2">
        <v>1</v>
      </c>
      <c r="F19" s="2">
        <v>22.3</v>
      </c>
      <c r="G19" s="5">
        <v>0.850790029374404</v>
      </c>
      <c r="H19" s="6">
        <v>55.4</v>
      </c>
      <c r="I19" s="2">
        <v>27.6</v>
      </c>
      <c r="J19" s="6">
        <v>66.3276854428232</v>
      </c>
      <c r="K19" s="10">
        <v>3.12548049523887</v>
      </c>
      <c r="L19" s="11">
        <v>0.0613276892430837</v>
      </c>
    </row>
    <row r="20" spans="1:12">
      <c r="A20" s="2">
        <v>65</v>
      </c>
      <c r="B20" s="2">
        <v>5.7</v>
      </c>
      <c r="C20" s="2">
        <v>2.5</v>
      </c>
      <c r="D20" s="2">
        <v>0</v>
      </c>
      <c r="E20" s="2">
        <v>1</v>
      </c>
      <c r="F20" s="2">
        <v>22.3</v>
      </c>
      <c r="G20" s="5">
        <v>0.831152647810126</v>
      </c>
      <c r="H20" s="6">
        <v>58.8</v>
      </c>
      <c r="I20" s="2">
        <v>29.9</v>
      </c>
      <c r="J20" s="6">
        <v>63.7204508778057</v>
      </c>
      <c r="K20" s="10">
        <v>2.81596775707135</v>
      </c>
      <c r="L20" s="11">
        <v>0.0444464310119026</v>
      </c>
    </row>
    <row r="21" spans="1:12">
      <c r="A21" s="2">
        <v>67.5</v>
      </c>
      <c r="B21" s="2">
        <v>5.7</v>
      </c>
      <c r="C21" s="2">
        <v>2.5</v>
      </c>
      <c r="D21" s="2">
        <v>0</v>
      </c>
      <c r="E21" s="2">
        <v>1</v>
      </c>
      <c r="F21" s="2">
        <v>22.3</v>
      </c>
      <c r="G21" s="5">
        <v>0.809058400419842</v>
      </c>
      <c r="H21" s="6">
        <v>62.2</v>
      </c>
      <c r="I21" s="2">
        <v>32.3</v>
      </c>
      <c r="J21" s="6">
        <v>63.3210622769881</v>
      </c>
      <c r="K21" s="10">
        <v>2.6478525378494</v>
      </c>
      <c r="L21" s="11">
        <v>0.0425324704258248</v>
      </c>
    </row>
    <row r="22" spans="1:12">
      <c r="A22" s="2">
        <v>70</v>
      </c>
      <c r="B22" s="2">
        <v>5.7</v>
      </c>
      <c r="C22" s="2">
        <v>2.5</v>
      </c>
      <c r="D22" s="2">
        <v>0</v>
      </c>
      <c r="E22" s="2">
        <v>1</v>
      </c>
      <c r="F22" s="2">
        <v>22.2</v>
      </c>
      <c r="G22" s="5">
        <v>0.784179277129304</v>
      </c>
      <c r="H22" s="6">
        <v>65.2</v>
      </c>
      <c r="I22" s="2">
        <v>34.8</v>
      </c>
      <c r="J22" s="6">
        <v>65.8784732044702</v>
      </c>
      <c r="K22" s="10">
        <v>2.62718318159925</v>
      </c>
      <c r="L22" s="11">
        <v>0.0413296795640493</v>
      </c>
    </row>
    <row r="23" spans="1:12">
      <c r="A23" s="2">
        <v>45</v>
      </c>
      <c r="B23" s="2">
        <v>6.5</v>
      </c>
      <c r="C23" s="2">
        <v>2.5</v>
      </c>
      <c r="D23" s="2">
        <v>0</v>
      </c>
      <c r="E23" s="2">
        <v>1</v>
      </c>
      <c r="F23" s="2">
        <v>22.2</v>
      </c>
      <c r="G23" s="5">
        <v>0.93913980595102</v>
      </c>
      <c r="H23" s="6">
        <v>38</v>
      </c>
      <c r="I23" s="2">
        <v>14.6</v>
      </c>
      <c r="J23" s="6">
        <v>36.292836456436</v>
      </c>
      <c r="K23" s="10">
        <v>3.13205166163456</v>
      </c>
      <c r="L23" s="11">
        <v>0.0620824051560482</v>
      </c>
    </row>
    <row r="24" spans="1:12">
      <c r="A24" s="2">
        <v>47.5</v>
      </c>
      <c r="B24" s="2">
        <v>6.5</v>
      </c>
      <c r="C24" s="2">
        <v>2.5</v>
      </c>
      <c r="D24" s="2">
        <v>0</v>
      </c>
      <c r="E24" s="2">
        <v>1</v>
      </c>
      <c r="F24" s="2">
        <v>22.2</v>
      </c>
      <c r="G24" s="5">
        <v>0.930523923822277</v>
      </c>
      <c r="H24" s="6">
        <v>40.9</v>
      </c>
      <c r="I24" s="2">
        <v>16.3</v>
      </c>
      <c r="J24" s="6">
        <v>38.4268167972734</v>
      </c>
      <c r="K24" s="10">
        <v>2.90141010746495</v>
      </c>
      <c r="L24" s="11">
        <v>0.0590725024662089</v>
      </c>
    </row>
    <row r="25" spans="1:12">
      <c r="A25" s="2">
        <v>50</v>
      </c>
      <c r="B25" s="2">
        <v>6.5</v>
      </c>
      <c r="C25" s="2">
        <v>2.5</v>
      </c>
      <c r="D25" s="2">
        <v>0</v>
      </c>
      <c r="E25" s="2">
        <v>1</v>
      </c>
      <c r="F25" s="2">
        <v>22.2</v>
      </c>
      <c r="G25" s="5">
        <v>0.920818198615511</v>
      </c>
      <c r="H25" s="6">
        <v>43.1</v>
      </c>
      <c r="I25" s="2">
        <v>18.3</v>
      </c>
      <c r="J25" s="6">
        <v>43.3516476758347</v>
      </c>
      <c r="K25" s="10">
        <v>2.99832681525706</v>
      </c>
      <c r="L25" s="11">
        <v>0.0562795659602085</v>
      </c>
    </row>
    <row r="26" spans="1:12">
      <c r="A26" s="2">
        <v>52.5</v>
      </c>
      <c r="B26" s="2">
        <v>6.5</v>
      </c>
      <c r="C26" s="2">
        <v>2.5</v>
      </c>
      <c r="D26" s="2">
        <v>0</v>
      </c>
      <c r="E26" s="2">
        <v>1</v>
      </c>
      <c r="F26" s="2">
        <v>22.3</v>
      </c>
      <c r="G26" s="5">
        <v>0.909893599259399</v>
      </c>
      <c r="H26" s="6">
        <v>46.2</v>
      </c>
      <c r="I26" s="2">
        <v>19.4</v>
      </c>
      <c r="J26" s="6">
        <v>44.7247384199421</v>
      </c>
      <c r="K26" s="10">
        <v>2.71514490709756</v>
      </c>
      <c r="L26" s="11">
        <v>0.0520703619554137</v>
      </c>
    </row>
    <row r="27" spans="1:12">
      <c r="A27" s="2">
        <v>55</v>
      </c>
      <c r="B27" s="2">
        <v>6.5</v>
      </c>
      <c r="C27" s="2">
        <v>2.5</v>
      </c>
      <c r="D27" s="2">
        <v>0</v>
      </c>
      <c r="E27" s="2">
        <v>1</v>
      </c>
      <c r="F27" s="2">
        <v>22.3</v>
      </c>
      <c r="G27" s="5">
        <v>0.89760467536325</v>
      </c>
      <c r="H27" s="6">
        <v>48.3</v>
      </c>
      <c r="I27" s="2">
        <v>21.5</v>
      </c>
      <c r="J27" s="6">
        <v>51.1390792674063</v>
      </c>
      <c r="K27" s="10">
        <v>2.91003046668826</v>
      </c>
      <c r="L27" s="11">
        <v>0.0492910949865242</v>
      </c>
    </row>
    <row r="28" spans="1:12">
      <c r="A28" s="2">
        <v>57.5</v>
      </c>
      <c r="B28" s="2">
        <v>6.5</v>
      </c>
      <c r="C28" s="2">
        <v>2.5</v>
      </c>
      <c r="D28" s="2">
        <v>0</v>
      </c>
      <c r="E28" s="2">
        <v>1</v>
      </c>
      <c r="F28" s="2">
        <v>22.3</v>
      </c>
      <c r="G28" s="5">
        <v>0.883786850160418</v>
      </c>
      <c r="H28" s="6">
        <v>50.8</v>
      </c>
      <c r="I28" s="2">
        <v>23.3</v>
      </c>
      <c r="J28" s="6">
        <v>56.5659616388304</v>
      </c>
      <c r="K28" s="10">
        <v>2.97906007697399</v>
      </c>
      <c r="L28" s="11">
        <v>0.0462464718937019</v>
      </c>
    </row>
    <row r="29" spans="1:12">
      <c r="A29" s="2">
        <v>60</v>
      </c>
      <c r="B29" s="2">
        <v>6.5</v>
      </c>
      <c r="C29" s="2">
        <v>2.5</v>
      </c>
      <c r="D29" s="2">
        <v>0</v>
      </c>
      <c r="E29" s="2">
        <v>1</v>
      </c>
      <c r="F29" s="2">
        <v>22.4</v>
      </c>
      <c r="G29" s="5">
        <v>0.868253123396246</v>
      </c>
      <c r="H29" s="6">
        <v>53.8</v>
      </c>
      <c r="I29" s="2">
        <v>25.3</v>
      </c>
      <c r="J29" s="6">
        <v>58.5777446539999</v>
      </c>
      <c r="K29" s="10">
        <v>2.87432292392948</v>
      </c>
      <c r="L29" s="11">
        <v>0.0433300257439266</v>
      </c>
    </row>
    <row r="30" spans="1:12">
      <c r="A30" s="2">
        <v>62.5</v>
      </c>
      <c r="B30" s="2">
        <v>6.5</v>
      </c>
      <c r="C30" s="2">
        <v>2.5</v>
      </c>
      <c r="D30" s="2">
        <v>0</v>
      </c>
      <c r="E30" s="2">
        <v>1</v>
      </c>
      <c r="F30" s="2">
        <v>22.4</v>
      </c>
      <c r="G30" s="5">
        <v>0.850790029374404</v>
      </c>
      <c r="H30" s="6">
        <v>56.2</v>
      </c>
      <c r="I30" s="2">
        <v>28</v>
      </c>
      <c r="J30" s="6">
        <v>65.9121582945978</v>
      </c>
      <c r="K30" s="10">
        <v>3.12291186369451</v>
      </c>
      <c r="L30" s="11">
        <v>0.0412329130615695</v>
      </c>
    </row>
    <row r="31" spans="1:12">
      <c r="A31" s="2">
        <v>65</v>
      </c>
      <c r="B31" s="2">
        <v>6.5</v>
      </c>
      <c r="C31" s="2">
        <v>2.5</v>
      </c>
      <c r="D31" s="2">
        <v>0</v>
      </c>
      <c r="E31" s="2">
        <v>1</v>
      </c>
      <c r="F31" s="2">
        <v>22.4</v>
      </c>
      <c r="G31" s="5">
        <v>0.831152647810126</v>
      </c>
      <c r="H31" s="6">
        <v>59</v>
      </c>
      <c r="I31" s="2">
        <v>30.3</v>
      </c>
      <c r="J31" s="6">
        <v>70.0314745214019</v>
      </c>
      <c r="K31" s="10">
        <v>3.14262344945362</v>
      </c>
      <c r="L31" s="11">
        <v>0.0391367457748665</v>
      </c>
    </row>
    <row r="32" spans="1:12">
      <c r="A32" s="2">
        <v>67.5</v>
      </c>
      <c r="B32" s="2">
        <v>6.5</v>
      </c>
      <c r="C32" s="2">
        <v>2.5</v>
      </c>
      <c r="D32" s="2">
        <v>0</v>
      </c>
      <c r="E32" s="2">
        <v>1</v>
      </c>
      <c r="F32" s="2">
        <v>22.3</v>
      </c>
      <c r="G32" s="5">
        <v>0.809058400419842</v>
      </c>
      <c r="H32" s="6">
        <v>61.5</v>
      </c>
      <c r="I32" s="2">
        <v>32.5</v>
      </c>
      <c r="J32" s="6">
        <v>78.2869769325753</v>
      </c>
      <c r="K32" s="10">
        <v>3.33214955159476</v>
      </c>
      <c r="L32" s="11">
        <v>0.0374197464560577</v>
      </c>
    </row>
    <row r="33" spans="1:12">
      <c r="A33" s="2">
        <v>70</v>
      </c>
      <c r="B33" s="2">
        <v>6.5</v>
      </c>
      <c r="C33" s="2">
        <v>2.5</v>
      </c>
      <c r="D33" s="2">
        <v>0</v>
      </c>
      <c r="E33" s="2">
        <v>1</v>
      </c>
      <c r="F33" s="2">
        <v>22.3</v>
      </c>
      <c r="G33" s="5">
        <v>0.784179277129304</v>
      </c>
      <c r="H33" s="6">
        <v>64</v>
      </c>
      <c r="I33" s="2">
        <v>35.2</v>
      </c>
      <c r="J33" s="6">
        <v>86.8903258485003</v>
      </c>
      <c r="K33" s="10">
        <v>3.58503677230165</v>
      </c>
      <c r="L33" s="11">
        <v>0.036496370095611</v>
      </c>
    </row>
    <row r="34" spans="1:12">
      <c r="A34" s="2">
        <v>45</v>
      </c>
      <c r="B34" s="2">
        <v>7.2</v>
      </c>
      <c r="C34" s="2">
        <v>2.5</v>
      </c>
      <c r="D34" s="2">
        <v>0</v>
      </c>
      <c r="E34" s="2">
        <v>1</v>
      </c>
      <c r="F34" s="2">
        <v>22</v>
      </c>
      <c r="G34" s="5">
        <v>0.93913980595102</v>
      </c>
      <c r="H34" s="6">
        <v>38.6</v>
      </c>
      <c r="I34" s="2">
        <v>17.5</v>
      </c>
      <c r="J34" s="6">
        <v>37.6921727675598</v>
      </c>
      <c r="K34" s="10">
        <v>3.75106595940835</v>
      </c>
      <c r="L34" s="11">
        <v>0.0616578896647774</v>
      </c>
    </row>
    <row r="35" spans="1:12">
      <c r="A35" s="2">
        <v>47.5</v>
      </c>
      <c r="B35" s="2">
        <v>7.2</v>
      </c>
      <c r="C35" s="2">
        <v>2.5</v>
      </c>
      <c r="D35" s="2">
        <v>0</v>
      </c>
      <c r="E35" s="2">
        <v>1</v>
      </c>
      <c r="F35" s="2">
        <v>22</v>
      </c>
      <c r="G35" s="5">
        <v>0.930523923822277</v>
      </c>
      <c r="H35" s="6">
        <v>39.2</v>
      </c>
      <c r="I35" s="2">
        <v>19.3</v>
      </c>
      <c r="J35" s="6">
        <v>49.6436515232072</v>
      </c>
      <c r="K35" s="10">
        <v>4.60494552944875</v>
      </c>
      <c r="L35" s="11">
        <v>0.057975029303957</v>
      </c>
    </row>
    <row r="36" spans="1:12">
      <c r="A36" s="2">
        <v>50</v>
      </c>
      <c r="B36" s="2">
        <v>7.2</v>
      </c>
      <c r="C36" s="2">
        <v>2.5</v>
      </c>
      <c r="D36" s="2">
        <v>0</v>
      </c>
      <c r="E36" s="2">
        <v>1</v>
      </c>
      <c r="F36" s="2">
        <v>22</v>
      </c>
      <c r="G36" s="5">
        <v>0.920818198615511</v>
      </c>
      <c r="H36" s="6">
        <v>40.5</v>
      </c>
      <c r="I36" s="2">
        <v>20.4</v>
      </c>
      <c r="J36" s="6">
        <v>59.7871135096979</v>
      </c>
      <c r="K36" s="10">
        <v>4.87962940174664</v>
      </c>
      <c r="L36" s="11">
        <v>0.0535708964540811</v>
      </c>
    </row>
    <row r="37" spans="1:12">
      <c r="A37" s="2">
        <v>52.5</v>
      </c>
      <c r="B37" s="2">
        <v>7.2</v>
      </c>
      <c r="C37" s="2">
        <v>2.5</v>
      </c>
      <c r="D37" s="2">
        <v>0</v>
      </c>
      <c r="E37" s="2">
        <v>1</v>
      </c>
      <c r="F37" s="2">
        <v>22.1</v>
      </c>
      <c r="G37" s="5">
        <v>0.909893599259399</v>
      </c>
      <c r="H37" s="6">
        <v>42</v>
      </c>
      <c r="I37" s="2">
        <v>21.7</v>
      </c>
      <c r="J37" s="6">
        <v>70.3161377013072</v>
      </c>
      <c r="K37" s="10">
        <v>5.19458399264461</v>
      </c>
      <c r="L37" s="11">
        <v>0.0494725839383211</v>
      </c>
    </row>
    <row r="38" spans="1:12">
      <c r="A38" s="2">
        <v>55</v>
      </c>
      <c r="B38" s="2">
        <v>7.2</v>
      </c>
      <c r="C38" s="2">
        <v>2.5</v>
      </c>
      <c r="D38" s="2">
        <v>0</v>
      </c>
      <c r="E38" s="2">
        <v>1</v>
      </c>
      <c r="F38" s="2">
        <v>22.1</v>
      </c>
      <c r="G38" s="5">
        <v>0.89760467536325</v>
      </c>
      <c r="H38" s="6">
        <v>43.5</v>
      </c>
      <c r="I38" s="2">
        <v>23.2</v>
      </c>
      <c r="J38" s="6">
        <v>82.2754287790443</v>
      </c>
      <c r="K38" s="10">
        <v>5.56424531260027</v>
      </c>
      <c r="L38" s="11">
        <v>0.0460257506865153</v>
      </c>
    </row>
    <row r="39" spans="1:12">
      <c r="A39" s="2">
        <v>57.5</v>
      </c>
      <c r="B39" s="2">
        <v>7.2</v>
      </c>
      <c r="C39" s="2">
        <v>2.5</v>
      </c>
      <c r="D39" s="2">
        <v>0</v>
      </c>
      <c r="E39" s="2">
        <v>1</v>
      </c>
      <c r="F39" s="2">
        <v>22.2</v>
      </c>
      <c r="G39" s="5">
        <v>0.883786850160418</v>
      </c>
      <c r="H39" s="6">
        <v>45.5</v>
      </c>
      <c r="I39" s="2">
        <v>24.8</v>
      </c>
      <c r="J39" s="6">
        <v>93.1643799082702</v>
      </c>
      <c r="K39" s="10">
        <v>5.80150681581898</v>
      </c>
      <c r="L39" s="11">
        <v>0.0427120788959989</v>
      </c>
    </row>
    <row r="40" spans="1:12">
      <c r="A40" s="2">
        <v>60</v>
      </c>
      <c r="B40" s="2">
        <v>7.2</v>
      </c>
      <c r="C40" s="2">
        <v>2.5</v>
      </c>
      <c r="D40" s="2">
        <v>0</v>
      </c>
      <c r="E40" s="2">
        <v>1</v>
      </c>
      <c r="F40" s="2">
        <v>22.2</v>
      </c>
      <c r="G40" s="5">
        <v>0.868253123396246</v>
      </c>
      <c r="H40" s="6">
        <v>48.5</v>
      </c>
      <c r="I40" s="2">
        <v>26.9</v>
      </c>
      <c r="J40" s="6">
        <v>99.8276717263061</v>
      </c>
      <c r="K40" s="10">
        <v>5.70966410334951</v>
      </c>
      <c r="L40" s="11">
        <v>0.0402110400258121</v>
      </c>
    </row>
    <row r="41" spans="1:12">
      <c r="A41" s="2">
        <v>62.5</v>
      </c>
      <c r="B41" s="2">
        <v>7.2</v>
      </c>
      <c r="C41" s="2">
        <v>2.5</v>
      </c>
      <c r="D41" s="2">
        <v>0</v>
      </c>
      <c r="E41" s="2">
        <v>1</v>
      </c>
      <c r="F41" s="2">
        <v>22.3</v>
      </c>
      <c r="G41" s="5">
        <v>0.850790029374404</v>
      </c>
      <c r="H41" s="6">
        <v>51.3</v>
      </c>
      <c r="I41" s="2">
        <v>28.6</v>
      </c>
      <c r="J41" s="6">
        <v>108.191246451604</v>
      </c>
      <c r="K41" s="10">
        <v>5.69739289617914</v>
      </c>
      <c r="L41" s="11">
        <v>0.0374913791772649</v>
      </c>
    </row>
    <row r="42" spans="1:12">
      <c r="A42" s="2">
        <v>65</v>
      </c>
      <c r="B42" s="2">
        <v>7.2</v>
      </c>
      <c r="C42" s="2">
        <v>2.5</v>
      </c>
      <c r="D42" s="2">
        <v>0</v>
      </c>
      <c r="E42" s="2">
        <v>1</v>
      </c>
      <c r="F42" s="2">
        <v>22.4</v>
      </c>
      <c r="G42" s="5">
        <v>0.831152647810126</v>
      </c>
      <c r="H42" s="6">
        <v>54.4</v>
      </c>
      <c r="I42" s="2">
        <v>30.5</v>
      </c>
      <c r="J42" s="6">
        <v>115.243420830373</v>
      </c>
      <c r="K42" s="10">
        <v>5.63204703228184</v>
      </c>
      <c r="L42" s="11">
        <v>0.0352249732939454</v>
      </c>
    </row>
    <row r="43" spans="1:12">
      <c r="A43" s="2">
        <v>67.5</v>
      </c>
      <c r="B43" s="2">
        <v>7.2</v>
      </c>
      <c r="C43" s="2">
        <v>2.5</v>
      </c>
      <c r="D43" s="2">
        <v>0</v>
      </c>
      <c r="E43" s="2">
        <v>1</v>
      </c>
      <c r="F43" s="2">
        <v>22.3</v>
      </c>
      <c r="G43" s="5">
        <v>0.809058400419842</v>
      </c>
      <c r="H43" s="6">
        <v>57.8</v>
      </c>
      <c r="I43" s="2">
        <v>32.9</v>
      </c>
      <c r="J43" s="6">
        <v>120.382815174598</v>
      </c>
      <c r="K43" s="10">
        <v>5.49990390926716</v>
      </c>
      <c r="L43" s="11">
        <v>0.0339025009132138</v>
      </c>
    </row>
    <row r="44" spans="1:12">
      <c r="A44" s="2">
        <v>70</v>
      </c>
      <c r="B44" s="2">
        <v>7.2</v>
      </c>
      <c r="C44" s="2">
        <v>2.5</v>
      </c>
      <c r="D44" s="2">
        <v>0</v>
      </c>
      <c r="E44" s="2">
        <v>1</v>
      </c>
      <c r="F44" s="2">
        <v>22.3</v>
      </c>
      <c r="G44" s="5">
        <v>0.784179277129304</v>
      </c>
      <c r="H44" s="6">
        <v>60.9</v>
      </c>
      <c r="I44" s="2">
        <v>35.4</v>
      </c>
      <c r="J44" s="6">
        <v>128.312705283586</v>
      </c>
      <c r="K44" s="10">
        <v>5.57966586098572</v>
      </c>
      <c r="L44" s="11">
        <v>0.0329839117066079</v>
      </c>
    </row>
    <row r="45" spans="1:12">
      <c r="A45" s="2">
        <v>45</v>
      </c>
      <c r="B45" s="2">
        <v>7.2</v>
      </c>
      <c r="C45" s="2">
        <v>4.5</v>
      </c>
      <c r="D45" s="2">
        <v>0</v>
      </c>
      <c r="E45" s="2">
        <v>1</v>
      </c>
      <c r="F45" s="2">
        <v>22.1</v>
      </c>
      <c r="G45" s="5">
        <v>0.93913980595102</v>
      </c>
      <c r="H45" s="6">
        <v>37.8</v>
      </c>
      <c r="I45" s="2">
        <v>19.9</v>
      </c>
      <c r="J45" s="6">
        <v>47.1738175450215</v>
      </c>
      <c r="K45" s="10">
        <v>6.14763404465717</v>
      </c>
      <c r="L45" s="11">
        <v>0.116910515540224</v>
      </c>
    </row>
    <row r="46" spans="1:12">
      <c r="A46" s="2">
        <v>47.5</v>
      </c>
      <c r="B46" s="2">
        <v>7.2</v>
      </c>
      <c r="C46" s="2">
        <v>4.5</v>
      </c>
      <c r="D46" s="2">
        <v>0</v>
      </c>
      <c r="E46" s="2">
        <v>1</v>
      </c>
      <c r="F46" s="2">
        <v>22.1</v>
      </c>
      <c r="G46" s="5">
        <v>0.930523923822277</v>
      </c>
      <c r="H46" s="6">
        <v>38.6</v>
      </c>
      <c r="I46" s="2">
        <v>20.4</v>
      </c>
      <c r="J46" s="6">
        <v>58.1854348129961</v>
      </c>
      <c r="K46" s="10">
        <v>6.04077373574559</v>
      </c>
      <c r="L46" s="11">
        <v>0.106350389233287</v>
      </c>
    </row>
    <row r="47" spans="1:12">
      <c r="A47" s="2">
        <v>50</v>
      </c>
      <c r="B47" s="2">
        <v>7.2</v>
      </c>
      <c r="C47" s="2">
        <v>4.5</v>
      </c>
      <c r="D47" s="2">
        <v>0</v>
      </c>
      <c r="E47" s="2">
        <v>1</v>
      </c>
      <c r="F47" s="2">
        <v>22.1</v>
      </c>
      <c r="G47" s="5">
        <v>0.920818198615511</v>
      </c>
      <c r="H47" s="6">
        <v>39.3</v>
      </c>
      <c r="I47" s="2">
        <v>21.7</v>
      </c>
      <c r="J47" s="6">
        <v>71.1503576728905</v>
      </c>
      <c r="K47" s="10">
        <v>6.59990777131476</v>
      </c>
      <c r="L47" s="11">
        <v>0.0983981852340347</v>
      </c>
    </row>
    <row r="48" spans="1:12">
      <c r="A48" s="2">
        <v>52.5</v>
      </c>
      <c r="B48" s="2">
        <v>7.2</v>
      </c>
      <c r="C48" s="2">
        <v>4.5</v>
      </c>
      <c r="D48" s="2">
        <v>0</v>
      </c>
      <c r="E48" s="2">
        <v>1</v>
      </c>
      <c r="F48" s="2">
        <v>22.2</v>
      </c>
      <c r="G48" s="5">
        <v>0.909893599259399</v>
      </c>
      <c r="H48" s="6">
        <v>40.6</v>
      </c>
      <c r="I48" s="2">
        <v>23.2</v>
      </c>
      <c r="J48" s="6">
        <v>82.9835741627716</v>
      </c>
      <c r="K48" s="10">
        <v>6.9930616360197</v>
      </c>
      <c r="L48" s="11">
        <v>0.0909989497484409</v>
      </c>
    </row>
    <row r="49" spans="1:12">
      <c r="A49" s="2">
        <v>55</v>
      </c>
      <c r="B49" s="2">
        <v>7.2</v>
      </c>
      <c r="C49" s="2">
        <v>4.5</v>
      </c>
      <c r="D49" s="2">
        <v>0</v>
      </c>
      <c r="E49" s="2">
        <v>1</v>
      </c>
      <c r="F49" s="2">
        <v>22.2</v>
      </c>
      <c r="G49" s="5">
        <v>0.89760467536325</v>
      </c>
      <c r="H49" s="6">
        <v>42.5</v>
      </c>
      <c r="I49" s="2">
        <v>24.9</v>
      </c>
      <c r="J49" s="6">
        <v>93.6281680435471</v>
      </c>
      <c r="K49" s="10">
        <v>7.12599552156495</v>
      </c>
      <c r="L49" s="11">
        <v>0.0848533645923056</v>
      </c>
    </row>
    <row r="50" spans="1:12">
      <c r="A50" s="2">
        <v>57.5</v>
      </c>
      <c r="B50" s="2">
        <v>7.2</v>
      </c>
      <c r="C50" s="2">
        <v>4.5</v>
      </c>
      <c r="D50" s="2">
        <v>0</v>
      </c>
      <c r="E50" s="2">
        <v>1</v>
      </c>
      <c r="F50" s="2">
        <v>22.2</v>
      </c>
      <c r="G50" s="5">
        <v>0.883786850160418</v>
      </c>
      <c r="H50" s="6">
        <v>44.6</v>
      </c>
      <c r="I50" s="2">
        <v>26.6</v>
      </c>
      <c r="J50" s="6">
        <v>104.599214219014</v>
      </c>
      <c r="K50" s="10">
        <v>7.22068939196218</v>
      </c>
      <c r="L50" s="11">
        <v>0.0791475580848631</v>
      </c>
    </row>
    <row r="51" spans="1:12">
      <c r="A51" s="2">
        <v>60</v>
      </c>
      <c r="B51" s="2">
        <v>7.2</v>
      </c>
      <c r="C51" s="2">
        <v>4.5</v>
      </c>
      <c r="D51" s="2">
        <v>0</v>
      </c>
      <c r="E51" s="2">
        <v>1</v>
      </c>
      <c r="F51" s="2">
        <v>22.2</v>
      </c>
      <c r="G51" s="5">
        <v>0.868253123396246</v>
      </c>
      <c r="H51" s="6">
        <v>47.2</v>
      </c>
      <c r="I51" s="2">
        <v>28.5</v>
      </c>
      <c r="J51" s="6">
        <v>114.258624823129</v>
      </c>
      <c r="K51" s="10">
        <v>7.19655710368723</v>
      </c>
      <c r="L51" s="11">
        <v>0.0742266208838842</v>
      </c>
    </row>
    <row r="52" spans="1:12">
      <c r="A52" s="2">
        <v>62.5</v>
      </c>
      <c r="B52" s="2">
        <v>7.2</v>
      </c>
      <c r="C52" s="2">
        <v>4.5</v>
      </c>
      <c r="D52" s="2">
        <v>0</v>
      </c>
      <c r="E52" s="2">
        <v>1</v>
      </c>
      <c r="F52" s="2">
        <v>22.2</v>
      </c>
      <c r="G52" s="5">
        <v>0.850790029374404</v>
      </c>
      <c r="H52" s="6">
        <v>50.3</v>
      </c>
      <c r="I52" s="2">
        <v>30.5</v>
      </c>
      <c r="J52" s="6">
        <v>121.961164483263</v>
      </c>
      <c r="K52" s="10">
        <v>7.02034581557563</v>
      </c>
      <c r="L52" s="11">
        <v>0.0700103139570932</v>
      </c>
    </row>
    <row r="53" spans="1:12">
      <c r="A53" s="2">
        <v>65</v>
      </c>
      <c r="B53" s="2">
        <v>7.2</v>
      </c>
      <c r="C53" s="2">
        <v>4.5</v>
      </c>
      <c r="D53" s="2">
        <v>0</v>
      </c>
      <c r="E53" s="2">
        <v>1</v>
      </c>
      <c r="F53" s="2">
        <v>22.1</v>
      </c>
      <c r="G53" s="5">
        <v>0.831152647810126</v>
      </c>
      <c r="H53" s="6">
        <v>53.6</v>
      </c>
      <c r="I53" s="2">
        <v>33</v>
      </c>
      <c r="J53" s="6">
        <v>129.060052943962</v>
      </c>
      <c r="K53" s="10">
        <v>6.91578324947234</v>
      </c>
      <c r="L53" s="11">
        <v>0.0673632670256045</v>
      </c>
    </row>
    <row r="54" spans="1:12">
      <c r="A54" s="2">
        <v>67.5</v>
      </c>
      <c r="B54" s="2">
        <v>7.2</v>
      </c>
      <c r="C54" s="2">
        <v>4.5</v>
      </c>
      <c r="D54" s="2">
        <v>0</v>
      </c>
      <c r="E54" s="2">
        <v>1</v>
      </c>
      <c r="F54" s="2">
        <v>22.1</v>
      </c>
      <c r="G54" s="5">
        <v>0.809058400419842</v>
      </c>
      <c r="H54" s="6">
        <v>56.4</v>
      </c>
      <c r="I54" s="2">
        <v>35.1</v>
      </c>
      <c r="J54" s="6">
        <v>140.325432451574</v>
      </c>
      <c r="K54" s="10">
        <v>7.03382083187963</v>
      </c>
      <c r="L54" s="11">
        <v>0.0646450896066444</v>
      </c>
    </row>
    <row r="55" spans="1:12">
      <c r="A55" s="2">
        <v>70</v>
      </c>
      <c r="B55" s="2">
        <v>7.2</v>
      </c>
      <c r="C55" s="2">
        <v>4.5</v>
      </c>
      <c r="D55" s="2">
        <v>0</v>
      </c>
      <c r="E55" s="2">
        <v>1</v>
      </c>
      <c r="F55" s="2">
        <v>22.1</v>
      </c>
      <c r="G55" s="5">
        <v>0.784179277129304</v>
      </c>
      <c r="H55" s="6">
        <v>58.6</v>
      </c>
      <c r="I55" s="2">
        <v>37.3</v>
      </c>
      <c r="J55" s="6">
        <v>158.321200468646</v>
      </c>
      <c r="K55" s="10">
        <v>7.55820679415947</v>
      </c>
      <c r="L55" s="11">
        <v>0.062934809976867</v>
      </c>
    </row>
    <row r="56" spans="1:12">
      <c r="A56" s="2">
        <v>45</v>
      </c>
      <c r="B56" s="2">
        <v>6.4</v>
      </c>
      <c r="C56" s="2">
        <v>4.5</v>
      </c>
      <c r="D56" s="2">
        <v>0</v>
      </c>
      <c r="E56" s="2">
        <v>1</v>
      </c>
      <c r="F56" s="2">
        <v>22</v>
      </c>
      <c r="G56" s="5">
        <v>0.93913980595102</v>
      </c>
      <c r="H56" s="6">
        <v>36.3</v>
      </c>
      <c r="I56" s="2">
        <v>18.4</v>
      </c>
      <c r="J56" s="6">
        <v>48.1649392768033</v>
      </c>
      <c r="K56" s="10">
        <v>5.63183813217785</v>
      </c>
      <c r="L56" s="11">
        <v>0.127277652759189</v>
      </c>
    </row>
    <row r="57" spans="1:12">
      <c r="A57" s="2">
        <v>47.5</v>
      </c>
      <c r="B57" s="2">
        <v>6.4</v>
      </c>
      <c r="C57" s="2">
        <v>4.5</v>
      </c>
      <c r="D57" s="2">
        <v>0</v>
      </c>
      <c r="E57" s="2">
        <v>1</v>
      </c>
      <c r="F57" s="2">
        <v>22</v>
      </c>
      <c r="G57" s="5">
        <v>0.930523923822277</v>
      </c>
      <c r="H57" s="6">
        <v>37.4</v>
      </c>
      <c r="I57" s="2">
        <v>18.9</v>
      </c>
      <c r="J57" s="6">
        <v>57.0687923550578</v>
      </c>
      <c r="K57" s="10">
        <v>5.49480291560478</v>
      </c>
      <c r="L57" s="11">
        <v>0.115979412870124</v>
      </c>
    </row>
    <row r="58" spans="1:12">
      <c r="A58" s="2">
        <v>50</v>
      </c>
      <c r="B58" s="2">
        <v>6.4</v>
      </c>
      <c r="C58" s="2">
        <v>4.5</v>
      </c>
      <c r="D58" s="2">
        <v>0</v>
      </c>
      <c r="E58" s="2">
        <v>1</v>
      </c>
      <c r="F58" s="2">
        <v>22.1</v>
      </c>
      <c r="G58" s="5">
        <v>0.920818198615511</v>
      </c>
      <c r="H58" s="6">
        <v>38.8</v>
      </c>
      <c r="I58" s="2">
        <v>20.7</v>
      </c>
      <c r="J58" s="6">
        <v>66.3184986107888</v>
      </c>
      <c r="K58" s="10">
        <v>5.87321994379078</v>
      </c>
      <c r="L58" s="11">
        <v>0.108396926808336</v>
      </c>
    </row>
    <row r="59" spans="1:12">
      <c r="A59" s="2">
        <v>52.5</v>
      </c>
      <c r="B59" s="2">
        <v>6.4</v>
      </c>
      <c r="C59" s="2">
        <v>4.5</v>
      </c>
      <c r="D59" s="2">
        <v>0</v>
      </c>
      <c r="E59" s="2">
        <v>1</v>
      </c>
      <c r="F59" s="2">
        <v>22.2</v>
      </c>
      <c r="G59" s="5">
        <v>0.909893599259399</v>
      </c>
      <c r="H59" s="6">
        <v>39.8</v>
      </c>
      <c r="I59" s="2">
        <v>22.3</v>
      </c>
      <c r="J59" s="6">
        <v>78.1183718040624</v>
      </c>
      <c r="K59" s="10">
        <v>6.41593804464434</v>
      </c>
      <c r="L59" s="11">
        <v>0.100551935933232</v>
      </c>
    </row>
    <row r="60" spans="1:12">
      <c r="A60" s="2">
        <v>55</v>
      </c>
      <c r="B60" s="2">
        <v>6.4</v>
      </c>
      <c r="C60" s="2">
        <v>4.5</v>
      </c>
      <c r="D60" s="2">
        <v>0</v>
      </c>
      <c r="E60" s="2">
        <v>1</v>
      </c>
      <c r="F60" s="2">
        <v>22.1</v>
      </c>
      <c r="G60" s="5">
        <v>0.89760467536325</v>
      </c>
      <c r="H60" s="6">
        <v>41.9</v>
      </c>
      <c r="I60" s="2">
        <v>24.5</v>
      </c>
      <c r="J60" s="6">
        <v>87.2326010685248</v>
      </c>
      <c r="K60" s="10">
        <v>6.56119421150804</v>
      </c>
      <c r="L60" s="11">
        <v>0.095129773428688</v>
      </c>
    </row>
    <row r="61" spans="1:12">
      <c r="A61" s="2">
        <v>57.5</v>
      </c>
      <c r="B61" s="2">
        <v>6.4</v>
      </c>
      <c r="C61" s="2">
        <v>4.5</v>
      </c>
      <c r="D61" s="2">
        <v>0</v>
      </c>
      <c r="E61" s="2">
        <v>1</v>
      </c>
      <c r="F61" s="2">
        <v>22.1</v>
      </c>
      <c r="G61" s="5">
        <v>0.883786850160418</v>
      </c>
      <c r="H61" s="6">
        <v>44.5</v>
      </c>
      <c r="I61" s="2">
        <v>26.4</v>
      </c>
      <c r="J61" s="6">
        <v>95.0805589197763</v>
      </c>
      <c r="K61" s="10">
        <v>6.46999349244492</v>
      </c>
      <c r="L61" s="11">
        <v>0.0891026938305591</v>
      </c>
    </row>
    <row r="62" spans="1:12">
      <c r="A62" s="2">
        <v>60</v>
      </c>
      <c r="B62" s="2">
        <v>6.4</v>
      </c>
      <c r="C62" s="2">
        <v>4.5</v>
      </c>
      <c r="D62" s="2">
        <v>0</v>
      </c>
      <c r="E62" s="2">
        <v>1</v>
      </c>
      <c r="F62" s="2">
        <v>22.1</v>
      </c>
      <c r="G62" s="5">
        <v>0.868253123396246</v>
      </c>
      <c r="H62" s="6">
        <v>46.3</v>
      </c>
      <c r="I62" s="2">
        <v>28.4</v>
      </c>
      <c r="J62" s="6">
        <v>107.622028474116</v>
      </c>
      <c r="K62" s="10">
        <v>6.84579209262805</v>
      </c>
      <c r="L62" s="11">
        <v>0.0835758670654524</v>
      </c>
    </row>
    <row r="63" spans="1:12">
      <c r="A63" s="2">
        <v>62.5</v>
      </c>
      <c r="B63" s="2">
        <v>6.4</v>
      </c>
      <c r="C63" s="2">
        <v>4.5</v>
      </c>
      <c r="D63" s="2">
        <v>0</v>
      </c>
      <c r="E63" s="2">
        <v>1</v>
      </c>
      <c r="F63" s="2">
        <v>22.1</v>
      </c>
      <c r="G63" s="5">
        <v>0.850790029374404</v>
      </c>
      <c r="H63" s="6">
        <v>48.5</v>
      </c>
      <c r="I63" s="2">
        <v>30.5</v>
      </c>
      <c r="J63" s="6">
        <v>119.780423128766</v>
      </c>
      <c r="K63" s="10">
        <v>7.12025108744338</v>
      </c>
      <c r="L63" s="11">
        <v>0.0788271763133837</v>
      </c>
    </row>
    <row r="64" spans="1:12">
      <c r="A64" s="2">
        <v>65</v>
      </c>
      <c r="B64" s="2">
        <v>6.4</v>
      </c>
      <c r="C64" s="2">
        <v>4.5</v>
      </c>
      <c r="D64" s="2">
        <v>0</v>
      </c>
      <c r="E64" s="2">
        <v>1</v>
      </c>
      <c r="F64" s="2">
        <v>22.1</v>
      </c>
      <c r="G64" s="5">
        <v>0.831152647810126</v>
      </c>
      <c r="H64" s="6">
        <v>51</v>
      </c>
      <c r="I64" s="2">
        <v>32.5</v>
      </c>
      <c r="J64" s="6">
        <v>131.822221301801</v>
      </c>
      <c r="K64" s="10">
        <v>7.28254205146509</v>
      </c>
      <c r="L64" s="11">
        <v>0.0746631430664964</v>
      </c>
    </row>
    <row r="65" spans="1:12">
      <c r="A65" s="2">
        <v>67.5</v>
      </c>
      <c r="B65" s="2">
        <v>6.4</v>
      </c>
      <c r="C65" s="2">
        <v>4.5</v>
      </c>
      <c r="D65" s="2">
        <v>0</v>
      </c>
      <c r="E65" s="2">
        <v>1</v>
      </c>
      <c r="F65" s="2">
        <v>22.1</v>
      </c>
      <c r="G65" s="5">
        <v>0.809058400419842</v>
      </c>
      <c r="H65" s="6">
        <v>54.6</v>
      </c>
      <c r="I65" s="2">
        <v>34.9</v>
      </c>
      <c r="J65" s="6">
        <v>138.718445067583</v>
      </c>
      <c r="K65" s="10">
        <v>7.1242314843398</v>
      </c>
      <c r="L65" s="11">
        <v>0.072143883527434</v>
      </c>
    </row>
    <row r="66" spans="1:12">
      <c r="A66" s="2">
        <v>70</v>
      </c>
      <c r="B66" s="2">
        <v>6.4</v>
      </c>
      <c r="C66" s="2">
        <v>4.5</v>
      </c>
      <c r="D66" s="2">
        <v>0</v>
      </c>
      <c r="E66" s="2">
        <v>1</v>
      </c>
      <c r="F66" s="2">
        <v>22.1</v>
      </c>
      <c r="G66" s="5">
        <v>0.784179277129304</v>
      </c>
      <c r="H66" s="6">
        <v>56.9</v>
      </c>
      <c r="I66" s="2">
        <v>36.8</v>
      </c>
      <c r="J66" s="6">
        <v>154.891680383873</v>
      </c>
      <c r="K66" s="10">
        <v>7.46795060502404</v>
      </c>
      <c r="L66" s="11">
        <v>0.0694918309946874</v>
      </c>
    </row>
    <row r="67" spans="1:12">
      <c r="A67" s="2">
        <v>45</v>
      </c>
      <c r="B67" s="2">
        <v>5.8</v>
      </c>
      <c r="C67" s="2">
        <v>4.5</v>
      </c>
      <c r="D67" s="2">
        <v>0</v>
      </c>
      <c r="E67" s="2">
        <v>1</v>
      </c>
      <c r="F67" s="2">
        <v>21.9</v>
      </c>
      <c r="G67" s="5">
        <v>0.93913980595102</v>
      </c>
      <c r="H67" s="6">
        <v>33</v>
      </c>
      <c r="I67" s="2">
        <v>13.8</v>
      </c>
      <c r="J67" s="6">
        <v>52.5720097828649</v>
      </c>
      <c r="K67" s="10">
        <v>5.16755717790459</v>
      </c>
      <c r="L67" s="11">
        <v>0.122480361371544</v>
      </c>
    </row>
    <row r="68" spans="1:12">
      <c r="A68" s="2">
        <v>47.5</v>
      </c>
      <c r="B68" s="2">
        <v>5.8</v>
      </c>
      <c r="C68" s="2">
        <v>4.5</v>
      </c>
      <c r="D68" s="2">
        <v>0</v>
      </c>
      <c r="E68" s="2">
        <v>1</v>
      </c>
      <c r="F68" s="2">
        <v>21.9</v>
      </c>
      <c r="G68" s="5">
        <v>0.930523923822277</v>
      </c>
      <c r="H68" s="6">
        <v>34.2</v>
      </c>
      <c r="I68" s="2">
        <v>15.3</v>
      </c>
      <c r="J68" s="6">
        <v>61.1328645018049</v>
      </c>
      <c r="K68" s="10">
        <v>5.42417745732886</v>
      </c>
      <c r="L68" s="11">
        <v>0.115940336736929</v>
      </c>
    </row>
    <row r="69" spans="1:12">
      <c r="A69" s="2">
        <v>50</v>
      </c>
      <c r="B69" s="2">
        <v>5.8</v>
      </c>
      <c r="C69" s="2">
        <v>4.5</v>
      </c>
      <c r="D69" s="2">
        <v>0</v>
      </c>
      <c r="E69" s="2">
        <v>1</v>
      </c>
      <c r="F69" s="2">
        <v>21.9</v>
      </c>
      <c r="G69" s="5">
        <v>0.920818198615511</v>
      </c>
      <c r="H69" s="6">
        <v>36.5</v>
      </c>
      <c r="I69" s="2">
        <v>17.6</v>
      </c>
      <c r="J69" s="6">
        <v>67.7158051323178</v>
      </c>
      <c r="K69" s="10">
        <v>5.44445431388536</v>
      </c>
      <c r="L69" s="11">
        <v>0.111849783330537</v>
      </c>
    </row>
    <row r="70" spans="1:12">
      <c r="A70" s="2">
        <v>52.5</v>
      </c>
      <c r="B70" s="2">
        <v>5.8</v>
      </c>
      <c r="C70" s="2">
        <v>4.5</v>
      </c>
      <c r="D70" s="2">
        <v>0</v>
      </c>
      <c r="E70" s="2">
        <v>1</v>
      </c>
      <c r="F70" s="2">
        <v>22</v>
      </c>
      <c r="G70" s="5">
        <v>0.909893599259399</v>
      </c>
      <c r="H70" s="6">
        <v>38.6</v>
      </c>
      <c r="I70" s="2">
        <v>19.7</v>
      </c>
      <c r="J70" s="6">
        <v>75.4325296390204</v>
      </c>
      <c r="K70" s="10">
        <v>5.59054617166976</v>
      </c>
      <c r="L70" s="11">
        <v>0.105925886114828</v>
      </c>
    </row>
    <row r="71" spans="1:12">
      <c r="A71" s="2">
        <v>55</v>
      </c>
      <c r="B71" s="2">
        <v>5.8</v>
      </c>
      <c r="C71" s="2">
        <v>4.5</v>
      </c>
      <c r="D71" s="2">
        <v>0</v>
      </c>
      <c r="E71" s="2">
        <v>1</v>
      </c>
      <c r="F71" s="2">
        <v>22</v>
      </c>
      <c r="G71" s="5">
        <v>0.89760467536325</v>
      </c>
      <c r="H71" s="6">
        <v>40.9</v>
      </c>
      <c r="I71" s="2">
        <v>21.4</v>
      </c>
      <c r="J71" s="6">
        <v>83.2255953205198</v>
      </c>
      <c r="K71" s="10">
        <v>5.56536195661449</v>
      </c>
      <c r="L71" s="11">
        <v>0.0994254587387655</v>
      </c>
    </row>
    <row r="72" spans="1:12">
      <c r="A72" s="2">
        <v>57.5</v>
      </c>
      <c r="B72" s="2">
        <v>5.8</v>
      </c>
      <c r="C72" s="2">
        <v>4.5</v>
      </c>
      <c r="D72" s="2">
        <v>0</v>
      </c>
      <c r="E72" s="2">
        <v>1</v>
      </c>
      <c r="F72" s="2">
        <v>21.9</v>
      </c>
      <c r="G72" s="5">
        <v>0.883786850160418</v>
      </c>
      <c r="H72" s="6">
        <v>44</v>
      </c>
      <c r="I72" s="2">
        <v>22.9</v>
      </c>
      <c r="J72" s="6">
        <v>88.7932920436928</v>
      </c>
      <c r="K72" s="10">
        <v>5.23290623117367</v>
      </c>
      <c r="L72" s="11">
        <v>0.0932847582559337</v>
      </c>
    </row>
    <row r="73" spans="1:12">
      <c r="A73" s="2">
        <v>60</v>
      </c>
      <c r="B73" s="2">
        <v>5.8</v>
      </c>
      <c r="C73" s="2">
        <v>4.5</v>
      </c>
      <c r="D73" s="2">
        <v>0</v>
      </c>
      <c r="E73" s="2">
        <v>1</v>
      </c>
      <c r="F73" s="2">
        <v>21.9</v>
      </c>
      <c r="G73" s="5">
        <v>0.868253123396246</v>
      </c>
      <c r="H73" s="6">
        <v>46.9</v>
      </c>
      <c r="I73" s="2">
        <v>24.6</v>
      </c>
      <c r="J73" s="6">
        <v>95.5500763257328</v>
      </c>
      <c r="K73" s="10">
        <v>5.11970718720038</v>
      </c>
      <c r="L73" s="11">
        <v>0.0873326517596539</v>
      </c>
    </row>
    <row r="74" spans="1:12">
      <c r="A74" s="2">
        <v>62.5</v>
      </c>
      <c r="B74" s="2">
        <v>5.8</v>
      </c>
      <c r="C74" s="2">
        <v>4.5</v>
      </c>
      <c r="D74" s="2">
        <v>0</v>
      </c>
      <c r="E74" s="2">
        <v>1</v>
      </c>
      <c r="F74" s="2">
        <v>21.8</v>
      </c>
      <c r="G74" s="5">
        <v>0.850790029374404</v>
      </c>
      <c r="H74" s="6">
        <v>49.8</v>
      </c>
      <c r="I74" s="2">
        <v>27.1</v>
      </c>
      <c r="J74" s="6">
        <v>103.136080831566</v>
      </c>
      <c r="K74" s="10">
        <v>5.17209337419934</v>
      </c>
      <c r="L74" s="11">
        <v>0.0831448581048794</v>
      </c>
    </row>
    <row r="75" spans="1:12">
      <c r="A75" s="2">
        <v>65</v>
      </c>
      <c r="B75" s="2">
        <v>5.8</v>
      </c>
      <c r="C75" s="2">
        <v>4.5</v>
      </c>
      <c r="D75" s="2">
        <v>0</v>
      </c>
      <c r="E75" s="2">
        <v>1</v>
      </c>
      <c r="F75" s="2">
        <v>21.8</v>
      </c>
      <c r="G75" s="5">
        <v>0.831152647810126</v>
      </c>
      <c r="H75" s="6">
        <v>53</v>
      </c>
      <c r="I75" s="2">
        <v>28.9</v>
      </c>
      <c r="J75" s="6">
        <v>109.505314961102</v>
      </c>
      <c r="K75" s="10">
        <v>5.05511884994467</v>
      </c>
      <c r="L75" s="11">
        <v>0.0780320772483464</v>
      </c>
    </row>
    <row r="76" spans="1:12">
      <c r="A76" s="2">
        <v>67.5</v>
      </c>
      <c r="B76" s="2">
        <v>5.8</v>
      </c>
      <c r="C76" s="2">
        <v>4.5</v>
      </c>
      <c r="D76" s="2">
        <v>0</v>
      </c>
      <c r="E76" s="2">
        <v>1</v>
      </c>
      <c r="F76" s="2">
        <v>21.8</v>
      </c>
      <c r="G76" s="5">
        <v>0.809058400419842</v>
      </c>
      <c r="H76" s="6">
        <v>56.8</v>
      </c>
      <c r="I76" s="2">
        <v>31.4</v>
      </c>
      <c r="J76" s="6">
        <v>112.60785784737</v>
      </c>
      <c r="K76" s="10">
        <v>4.86927542495545</v>
      </c>
      <c r="L76" s="11">
        <v>0.0744739511129235</v>
      </c>
    </row>
    <row r="77" spans="1:12">
      <c r="A77" s="2">
        <v>70</v>
      </c>
      <c r="B77" s="2">
        <v>5.8</v>
      </c>
      <c r="C77" s="2">
        <v>4.5</v>
      </c>
      <c r="D77" s="2">
        <v>0</v>
      </c>
      <c r="E77" s="2">
        <v>1</v>
      </c>
      <c r="F77" s="2">
        <v>21.9</v>
      </c>
      <c r="G77" s="5">
        <v>0.784179277129304</v>
      </c>
      <c r="H77" s="6">
        <v>59</v>
      </c>
      <c r="I77" s="2">
        <v>34</v>
      </c>
      <c r="J77" s="6">
        <v>126.808913051626</v>
      </c>
      <c r="K77" s="10">
        <v>5.33392566524769</v>
      </c>
      <c r="L77" s="11">
        <v>0.0715273885761815</v>
      </c>
    </row>
    <row r="78" spans="1:12">
      <c r="A78" s="2">
        <v>45</v>
      </c>
      <c r="B78" s="2">
        <v>4.7</v>
      </c>
      <c r="C78" s="2">
        <v>4.5</v>
      </c>
      <c r="D78" s="2">
        <v>0</v>
      </c>
      <c r="E78" s="2">
        <v>1</v>
      </c>
      <c r="F78" s="2">
        <v>21.9</v>
      </c>
      <c r="G78" s="5">
        <v>0.93913980595102</v>
      </c>
      <c r="H78" s="6">
        <v>31.8</v>
      </c>
      <c r="I78" s="2">
        <v>13.3</v>
      </c>
      <c r="J78" s="6">
        <v>47.013967471059</v>
      </c>
      <c r="K78" s="10">
        <v>4.77303261763451</v>
      </c>
      <c r="L78" s="11">
        <v>0.148155007050487</v>
      </c>
    </row>
    <row r="79" spans="1:12">
      <c r="A79" s="2">
        <v>47.5</v>
      </c>
      <c r="B79" s="2">
        <v>4.7</v>
      </c>
      <c r="C79" s="2">
        <v>4.5</v>
      </c>
      <c r="D79" s="2">
        <v>0</v>
      </c>
      <c r="E79" s="2">
        <v>1</v>
      </c>
      <c r="F79" s="2">
        <v>21.9</v>
      </c>
      <c r="G79" s="5">
        <v>0.930523923822277</v>
      </c>
      <c r="H79" s="6">
        <v>33.9</v>
      </c>
      <c r="I79" s="2">
        <v>14.8</v>
      </c>
      <c r="J79" s="6">
        <v>52.2414837781848</v>
      </c>
      <c r="K79" s="10">
        <v>4.58682472466626</v>
      </c>
      <c r="L79" s="11">
        <v>0.140741109912832</v>
      </c>
    </row>
    <row r="80" spans="1:12">
      <c r="A80" s="2">
        <v>50</v>
      </c>
      <c r="B80" s="2">
        <v>4.7</v>
      </c>
      <c r="C80" s="2">
        <v>4.5</v>
      </c>
      <c r="D80" s="2">
        <v>0</v>
      </c>
      <c r="E80" s="2">
        <v>1</v>
      </c>
      <c r="F80" s="2">
        <v>21.9</v>
      </c>
      <c r="G80" s="5">
        <v>0.920818198615511</v>
      </c>
      <c r="H80" s="6">
        <v>36.2</v>
      </c>
      <c r="I80" s="2">
        <v>17</v>
      </c>
      <c r="J80" s="6">
        <v>57.7721448600747</v>
      </c>
      <c r="K80" s="10">
        <v>4.57328683884571</v>
      </c>
      <c r="L80" s="11">
        <v>0.135768797129325</v>
      </c>
    </row>
    <row r="81" spans="1:12">
      <c r="A81" s="2">
        <v>52.5</v>
      </c>
      <c r="B81" s="2">
        <v>4.7</v>
      </c>
      <c r="C81" s="2">
        <v>4.5</v>
      </c>
      <c r="D81" s="2">
        <v>0</v>
      </c>
      <c r="E81" s="2">
        <v>1</v>
      </c>
      <c r="F81" s="2">
        <v>21.9</v>
      </c>
      <c r="G81" s="5">
        <v>0.909893599259399</v>
      </c>
      <c r="H81" s="6">
        <v>38.5</v>
      </c>
      <c r="I81" s="2">
        <v>18.9</v>
      </c>
      <c r="J81" s="6">
        <v>63.6962279267396</v>
      </c>
      <c r="K81" s="10">
        <v>4.54731080575747</v>
      </c>
      <c r="L81" s="11">
        <v>0.128878638210405</v>
      </c>
    </row>
    <row r="82" spans="1:12">
      <c r="A82" s="2">
        <v>55</v>
      </c>
      <c r="B82" s="2">
        <v>4.7</v>
      </c>
      <c r="C82" s="2">
        <v>4.5</v>
      </c>
      <c r="D82" s="2">
        <v>0</v>
      </c>
      <c r="E82" s="2">
        <v>1</v>
      </c>
      <c r="F82" s="2">
        <v>21.8</v>
      </c>
      <c r="G82" s="5">
        <v>0.89760467536325</v>
      </c>
      <c r="H82" s="6">
        <v>39.8</v>
      </c>
      <c r="I82" s="2">
        <v>20.6</v>
      </c>
      <c r="J82" s="6">
        <v>72.9535988834022</v>
      </c>
      <c r="K82" s="10">
        <v>4.81865199849375</v>
      </c>
      <c r="L82" s="11">
        <v>0.121550715362005</v>
      </c>
    </row>
    <row r="83" spans="1:12">
      <c r="A83" s="2">
        <v>57.5</v>
      </c>
      <c r="B83" s="2">
        <v>4.7</v>
      </c>
      <c r="C83" s="2">
        <v>4.5</v>
      </c>
      <c r="D83" s="2">
        <v>0</v>
      </c>
      <c r="E83" s="2">
        <v>1</v>
      </c>
      <c r="F83" s="2">
        <v>21.8</v>
      </c>
      <c r="G83" s="5">
        <v>0.883786850160418</v>
      </c>
      <c r="H83" s="6">
        <v>41.8</v>
      </c>
      <c r="I83" s="2">
        <v>22.6</v>
      </c>
      <c r="J83" s="6">
        <v>81.2683018644208</v>
      </c>
      <c r="K83" s="10">
        <v>4.98351411704369</v>
      </c>
      <c r="L83" s="11">
        <v>0.114585559518965</v>
      </c>
    </row>
    <row r="84" spans="1:12">
      <c r="A84" s="2">
        <v>60</v>
      </c>
      <c r="B84" s="2">
        <v>4.7</v>
      </c>
      <c r="C84" s="2">
        <v>4.5</v>
      </c>
      <c r="D84" s="2">
        <v>0</v>
      </c>
      <c r="E84" s="2">
        <v>1</v>
      </c>
      <c r="F84" s="2">
        <v>21.8</v>
      </c>
      <c r="G84" s="5">
        <v>0.868253123396246</v>
      </c>
      <c r="H84" s="6">
        <v>44.1</v>
      </c>
      <c r="I84" s="2">
        <v>24.1</v>
      </c>
      <c r="J84" s="6">
        <v>89.449392807477</v>
      </c>
      <c r="K84" s="10">
        <v>5.00056883152608</v>
      </c>
      <c r="L84" s="11">
        <v>0.106844293845094</v>
      </c>
    </row>
    <row r="85" spans="1:12">
      <c r="A85" s="2">
        <v>62.5</v>
      </c>
      <c r="B85" s="2">
        <v>4.7</v>
      </c>
      <c r="C85" s="2">
        <v>4.5</v>
      </c>
      <c r="D85" s="2">
        <v>0</v>
      </c>
      <c r="E85" s="2">
        <v>1</v>
      </c>
      <c r="F85" s="2">
        <v>21.8</v>
      </c>
      <c r="G85" s="5">
        <v>0.850790029374404</v>
      </c>
      <c r="H85" s="6">
        <v>47.2</v>
      </c>
      <c r="I85" s="2">
        <v>25.9</v>
      </c>
      <c r="J85" s="6">
        <v>95.8706928525709</v>
      </c>
      <c r="K85" s="10">
        <v>4.88508204888802</v>
      </c>
      <c r="L85" s="11">
        <v>0.100206279438596</v>
      </c>
    </row>
    <row r="86" spans="1:12">
      <c r="A86" s="2">
        <v>65</v>
      </c>
      <c r="B86" s="2">
        <v>4.7</v>
      </c>
      <c r="C86" s="2">
        <v>4.5</v>
      </c>
      <c r="D86" s="2">
        <v>0</v>
      </c>
      <c r="E86" s="2">
        <v>1</v>
      </c>
      <c r="F86" s="2">
        <v>21.9</v>
      </c>
      <c r="G86" s="5">
        <v>0.831152647810126</v>
      </c>
      <c r="H86" s="6">
        <v>51</v>
      </c>
      <c r="I86" s="2">
        <v>27.4</v>
      </c>
      <c r="J86" s="6">
        <v>99.8405972176752</v>
      </c>
      <c r="K86" s="10">
        <v>4.59771509835775</v>
      </c>
      <c r="L86" s="11">
        <v>0.0932692714840456</v>
      </c>
    </row>
    <row r="87" spans="1:12">
      <c r="A87" s="2">
        <v>67.5</v>
      </c>
      <c r="B87" s="2">
        <v>4.7</v>
      </c>
      <c r="C87" s="2">
        <v>4.5</v>
      </c>
      <c r="D87" s="2">
        <v>0</v>
      </c>
      <c r="E87" s="2">
        <v>1</v>
      </c>
      <c r="F87" s="2">
        <v>21.9</v>
      </c>
      <c r="G87" s="5">
        <v>0.809058400419842</v>
      </c>
      <c r="H87" s="6">
        <v>54.6</v>
      </c>
      <c r="I87" s="2">
        <v>29.1</v>
      </c>
      <c r="J87" s="6">
        <v>104.627647615918</v>
      </c>
      <c r="K87" s="10">
        <v>4.41770670873312</v>
      </c>
      <c r="L87" s="11">
        <v>0.0875695838773854</v>
      </c>
    </row>
    <row r="88" spans="1:12">
      <c r="A88" s="2">
        <v>70</v>
      </c>
      <c r="B88" s="2">
        <v>4.7</v>
      </c>
      <c r="C88" s="2">
        <v>4.5</v>
      </c>
      <c r="D88" s="2">
        <v>0</v>
      </c>
      <c r="E88" s="2">
        <v>1</v>
      </c>
      <c r="F88" s="2">
        <v>21.9</v>
      </c>
      <c r="G88" s="5">
        <v>0.784179277129304</v>
      </c>
      <c r="H88" s="6">
        <v>57.9</v>
      </c>
      <c r="I88" s="2">
        <v>30.7</v>
      </c>
      <c r="J88" s="6">
        <v>110.984645481116</v>
      </c>
      <c r="K88" s="10">
        <v>4.3382390212186</v>
      </c>
      <c r="L88" s="11">
        <v>0.0822633361319752</v>
      </c>
    </row>
    <row r="89" spans="1:12">
      <c r="A89" s="2">
        <v>45</v>
      </c>
      <c r="B89" s="2">
        <v>4.7</v>
      </c>
      <c r="C89" s="2">
        <v>8</v>
      </c>
      <c r="D89" s="2">
        <v>0</v>
      </c>
      <c r="E89" s="2">
        <v>1</v>
      </c>
      <c r="F89" s="2">
        <v>22</v>
      </c>
      <c r="G89" s="5">
        <v>0.93913980595102</v>
      </c>
      <c r="H89" s="6">
        <v>27.8</v>
      </c>
      <c r="I89" s="2">
        <v>15.6</v>
      </c>
      <c r="J89" s="6">
        <v>64.5154664392092</v>
      </c>
      <c r="K89" s="10">
        <v>9.82337018597272</v>
      </c>
      <c r="L89" s="11">
        <v>0.281499586665025</v>
      </c>
    </row>
    <row r="90" spans="1:12">
      <c r="A90" s="2">
        <v>47.5</v>
      </c>
      <c r="B90" s="2">
        <v>4.7</v>
      </c>
      <c r="C90" s="2">
        <v>8</v>
      </c>
      <c r="D90" s="2">
        <v>0</v>
      </c>
      <c r="E90" s="2">
        <v>1</v>
      </c>
      <c r="F90" s="2">
        <v>22</v>
      </c>
      <c r="G90" s="5">
        <v>0.930523923822277</v>
      </c>
      <c r="H90" s="6">
        <v>34.1</v>
      </c>
      <c r="I90" s="2">
        <v>17.7</v>
      </c>
      <c r="J90" s="6">
        <v>62.5123895923657</v>
      </c>
      <c r="K90" s="10">
        <v>6.38326685469984</v>
      </c>
      <c r="L90" s="11">
        <v>0.271126486567938</v>
      </c>
    </row>
    <row r="91" spans="1:12">
      <c r="A91" s="2">
        <v>50</v>
      </c>
      <c r="B91" s="2">
        <v>4.7</v>
      </c>
      <c r="C91" s="2">
        <v>8</v>
      </c>
      <c r="D91" s="2">
        <v>0</v>
      </c>
      <c r="E91" s="2">
        <v>1</v>
      </c>
      <c r="F91" s="2">
        <v>22</v>
      </c>
      <c r="G91" s="5">
        <v>0.0990296017182033</v>
      </c>
      <c r="H91" s="6">
        <v>36.2</v>
      </c>
      <c r="I91" s="2">
        <v>19.2</v>
      </c>
      <c r="J91" s="6">
        <v>68.5290641961344</v>
      </c>
      <c r="K91" s="10">
        <v>6.07231270151921</v>
      </c>
      <c r="L91" s="11">
        <v>0.253987158973564</v>
      </c>
    </row>
    <row r="92" spans="1:12">
      <c r="A92" s="2">
        <v>52.5</v>
      </c>
      <c r="B92" s="2">
        <v>4.7</v>
      </c>
      <c r="C92" s="2">
        <v>8</v>
      </c>
      <c r="D92" s="2">
        <v>0</v>
      </c>
      <c r="E92" s="2">
        <v>1</v>
      </c>
      <c r="F92" s="2">
        <v>22</v>
      </c>
      <c r="G92" s="5">
        <v>0.909893599259399</v>
      </c>
      <c r="H92" s="6">
        <v>37.9</v>
      </c>
      <c r="I92" s="2">
        <v>20.5</v>
      </c>
      <c r="J92" s="6">
        <v>76.0466215348893</v>
      </c>
      <c r="K92" s="10">
        <v>5.97718732631522</v>
      </c>
      <c r="L92" s="11">
        <v>0.236199225104258</v>
      </c>
    </row>
    <row r="93" spans="1:12">
      <c r="A93" s="2">
        <v>55</v>
      </c>
      <c r="B93" s="2">
        <v>4.7</v>
      </c>
      <c r="C93" s="2">
        <v>8</v>
      </c>
      <c r="D93" s="2">
        <v>0</v>
      </c>
      <c r="E93" s="2">
        <v>1</v>
      </c>
      <c r="F93" s="2">
        <v>22</v>
      </c>
      <c r="G93" s="5">
        <v>0.89760467536325</v>
      </c>
      <c r="H93" s="6">
        <v>39.2</v>
      </c>
      <c r="I93" s="2">
        <v>21.5</v>
      </c>
      <c r="J93" s="6">
        <v>85.2988122271598</v>
      </c>
      <c r="K93" s="10">
        <v>6.02422634564532</v>
      </c>
      <c r="L93" s="11">
        <v>0.217980748545163</v>
      </c>
    </row>
    <row r="94" spans="1:12">
      <c r="A94" s="2">
        <v>57.5</v>
      </c>
      <c r="B94" s="2">
        <v>4.7</v>
      </c>
      <c r="C94" s="2">
        <v>8</v>
      </c>
      <c r="D94" s="2">
        <v>0</v>
      </c>
      <c r="E94" s="2">
        <v>1</v>
      </c>
      <c r="F94" s="2">
        <v>22</v>
      </c>
      <c r="G94" s="5">
        <v>0.883786850160418</v>
      </c>
      <c r="H94" s="6">
        <v>40.5</v>
      </c>
      <c r="I94" s="2">
        <v>23.5</v>
      </c>
      <c r="J94" s="6">
        <v>96.0458131434696</v>
      </c>
      <c r="K94" s="10">
        <v>6.39612042534582</v>
      </c>
      <c r="L94" s="11">
        <v>0.20487799453539</v>
      </c>
    </row>
    <row r="95" spans="1:12">
      <c r="A95" s="2">
        <v>60</v>
      </c>
      <c r="B95" s="2">
        <v>4.7</v>
      </c>
      <c r="C95" s="2">
        <v>8</v>
      </c>
      <c r="D95" s="2">
        <v>0</v>
      </c>
      <c r="E95" s="2">
        <v>1</v>
      </c>
      <c r="F95" s="2">
        <v>21.9</v>
      </c>
      <c r="G95" s="5">
        <v>0.868253123396246</v>
      </c>
      <c r="H95" s="6">
        <v>42.3</v>
      </c>
      <c r="I95" s="2">
        <v>25</v>
      </c>
      <c r="J95" s="6">
        <v>106.380682411063</v>
      </c>
      <c r="K95" s="10">
        <v>6.45457752853967</v>
      </c>
      <c r="L95" s="11">
        <v>0.191542896788072</v>
      </c>
    </row>
    <row r="96" spans="1:12">
      <c r="A96" s="2">
        <v>62.5</v>
      </c>
      <c r="B96" s="2">
        <v>4.7</v>
      </c>
      <c r="C96" s="2">
        <v>8</v>
      </c>
      <c r="D96" s="2">
        <v>0</v>
      </c>
      <c r="E96" s="2">
        <v>1</v>
      </c>
      <c r="F96" s="2">
        <v>21.9</v>
      </c>
      <c r="G96" s="5">
        <v>0.850790029374404</v>
      </c>
      <c r="H96" s="6">
        <v>43.9</v>
      </c>
      <c r="I96" s="2">
        <v>26.6</v>
      </c>
      <c r="J96" s="6">
        <v>118.405360790263</v>
      </c>
      <c r="K96" s="10">
        <v>6.68968270607852</v>
      </c>
      <c r="L96" s="11">
        <v>0.178566893960909</v>
      </c>
    </row>
    <row r="97" spans="1:12">
      <c r="A97" s="2">
        <v>65</v>
      </c>
      <c r="B97" s="2">
        <v>4.7</v>
      </c>
      <c r="C97" s="2">
        <v>8</v>
      </c>
      <c r="D97" s="2">
        <v>0</v>
      </c>
      <c r="E97" s="2">
        <v>1</v>
      </c>
      <c r="F97" s="2">
        <v>21.9</v>
      </c>
      <c r="G97" s="5">
        <v>0.831152647810126</v>
      </c>
      <c r="H97" s="6">
        <v>47.2</v>
      </c>
      <c r="I97" s="2">
        <v>28.1</v>
      </c>
      <c r="J97" s="6">
        <v>126.172722276089</v>
      </c>
      <c r="K97" s="10">
        <v>6.40362328328846</v>
      </c>
      <c r="L97" s="11">
        <v>0.166786784740244</v>
      </c>
    </row>
    <row r="98" spans="1:12">
      <c r="A98" s="2">
        <v>67.5</v>
      </c>
      <c r="B98" s="2">
        <v>4.7</v>
      </c>
      <c r="C98" s="2">
        <v>8</v>
      </c>
      <c r="D98" s="2">
        <v>0</v>
      </c>
      <c r="E98" s="2">
        <v>1</v>
      </c>
      <c r="F98" s="2">
        <v>21.9</v>
      </c>
      <c r="G98" s="5">
        <v>0.809058400419842</v>
      </c>
      <c r="H98" s="6">
        <v>51.2</v>
      </c>
      <c r="I98" s="2">
        <v>30.3</v>
      </c>
      <c r="J98" s="6">
        <v>132.14042492139</v>
      </c>
      <c r="K98" s="10">
        <v>6.13258697920611</v>
      </c>
      <c r="L98" s="11">
        <v>0.158193932010035</v>
      </c>
    </row>
    <row r="99" spans="1:12">
      <c r="A99" s="2">
        <v>70</v>
      </c>
      <c r="B99" s="2">
        <v>4.7</v>
      </c>
      <c r="C99" s="2">
        <v>8</v>
      </c>
      <c r="D99" s="2">
        <v>0</v>
      </c>
      <c r="E99" s="2">
        <v>1</v>
      </c>
      <c r="F99" s="2">
        <v>21.9</v>
      </c>
      <c r="G99" s="5">
        <v>0.784179277129304</v>
      </c>
      <c r="H99" s="6">
        <v>54.5</v>
      </c>
      <c r="I99" s="2">
        <v>32.4</v>
      </c>
      <c r="J99" s="6">
        <v>141.237851372011</v>
      </c>
      <c r="K99" s="10">
        <v>6.1062519939889</v>
      </c>
      <c r="L99" s="11">
        <v>0.150434678711803</v>
      </c>
    </row>
    <row r="100" spans="1:12">
      <c r="A100" s="2">
        <v>45</v>
      </c>
      <c r="B100" s="2">
        <v>5.8</v>
      </c>
      <c r="C100" s="2">
        <v>8</v>
      </c>
      <c r="D100" s="2">
        <v>0</v>
      </c>
      <c r="E100" s="2">
        <v>1</v>
      </c>
      <c r="F100" s="2">
        <v>21.6</v>
      </c>
      <c r="G100" s="5">
        <v>0.93913980595102</v>
      </c>
      <c r="H100" s="6">
        <v>29.3</v>
      </c>
      <c r="I100" s="2">
        <v>17.6</v>
      </c>
      <c r="J100" s="6">
        <v>73.0128701261774</v>
      </c>
      <c r="K100" s="10">
        <v>10.8890015449567</v>
      </c>
      <c r="L100" s="11">
        <v>0.246131497512467</v>
      </c>
    </row>
    <row r="101" spans="1:12">
      <c r="A101" s="2">
        <v>47.5</v>
      </c>
      <c r="B101" s="2">
        <v>5.8</v>
      </c>
      <c r="C101" s="2">
        <v>8</v>
      </c>
      <c r="D101" s="2">
        <v>0</v>
      </c>
      <c r="E101" s="2">
        <v>1</v>
      </c>
      <c r="F101" s="2">
        <v>21.6</v>
      </c>
      <c r="G101" s="5">
        <v>0.930523923822277</v>
      </c>
      <c r="H101" s="6">
        <v>31.4</v>
      </c>
      <c r="I101" s="2">
        <v>19.8</v>
      </c>
      <c r="J101" s="6">
        <v>80.4329569162984</v>
      </c>
      <c r="K101" s="10">
        <v>10.3061489916623</v>
      </c>
      <c r="L101" s="11">
        <v>0.234044279749287</v>
      </c>
    </row>
    <row r="102" spans="1:12">
      <c r="A102" s="2">
        <v>50</v>
      </c>
      <c r="B102" s="2">
        <v>5.8</v>
      </c>
      <c r="C102" s="2">
        <v>8</v>
      </c>
      <c r="D102" s="2">
        <v>0</v>
      </c>
      <c r="E102" s="2">
        <v>1</v>
      </c>
      <c r="F102" s="2">
        <v>21.6</v>
      </c>
      <c r="G102" s="5">
        <v>0.920818198615511</v>
      </c>
      <c r="H102" s="6">
        <v>34</v>
      </c>
      <c r="I102" s="2">
        <v>20.7</v>
      </c>
      <c r="J102" s="6">
        <v>86.5121377310542</v>
      </c>
      <c r="K102" s="10">
        <v>8.77041910080396</v>
      </c>
      <c r="L102" s="11">
        <v>0.215656464342652</v>
      </c>
    </row>
    <row r="103" spans="1:12">
      <c r="A103" s="2">
        <v>52.5</v>
      </c>
      <c r="B103" s="2">
        <v>5.8</v>
      </c>
      <c r="C103" s="2">
        <v>8</v>
      </c>
      <c r="D103" s="2">
        <v>0</v>
      </c>
      <c r="E103" s="2">
        <v>1</v>
      </c>
      <c r="F103" s="2">
        <v>21.7</v>
      </c>
      <c r="G103" s="5">
        <v>0.909893599259399</v>
      </c>
      <c r="H103" s="6">
        <v>37.5</v>
      </c>
      <c r="I103" s="2">
        <v>21.5</v>
      </c>
      <c r="J103" s="6">
        <v>90.3202119819463</v>
      </c>
      <c r="K103" s="10">
        <v>7.36450915551995</v>
      </c>
      <c r="L103" s="11">
        <v>0.197789317978601</v>
      </c>
    </row>
    <row r="104" spans="1:12">
      <c r="A104" s="2">
        <v>55</v>
      </c>
      <c r="B104" s="2">
        <v>5.8</v>
      </c>
      <c r="C104" s="2">
        <v>8</v>
      </c>
      <c r="D104" s="2">
        <v>0</v>
      </c>
      <c r="E104" s="2">
        <v>1</v>
      </c>
      <c r="F104" s="2">
        <v>21.7</v>
      </c>
      <c r="G104" s="5">
        <v>0.89760467536325</v>
      </c>
      <c r="H104" s="6">
        <v>40.5</v>
      </c>
      <c r="I104" s="2">
        <v>22.5</v>
      </c>
      <c r="J104" s="6">
        <v>96.0494513006808</v>
      </c>
      <c r="K104" s="10">
        <v>6.6551552518265</v>
      </c>
      <c r="L104" s="11">
        <v>0.182791045810448</v>
      </c>
    </row>
    <row r="105" spans="1:12">
      <c r="A105" s="2">
        <v>57.5</v>
      </c>
      <c r="B105" s="2">
        <v>5.8</v>
      </c>
      <c r="C105" s="2">
        <v>8</v>
      </c>
      <c r="D105" s="2">
        <v>0</v>
      </c>
      <c r="E105" s="2">
        <v>1</v>
      </c>
      <c r="F105" s="2">
        <v>21.8</v>
      </c>
      <c r="G105" s="5">
        <v>0.883786850160418</v>
      </c>
      <c r="H105" s="6">
        <v>42.1</v>
      </c>
      <c r="I105" s="2">
        <v>23.9</v>
      </c>
      <c r="J105" s="6">
        <v>107.456428031419</v>
      </c>
      <c r="K105" s="10">
        <v>6.85851845806082</v>
      </c>
      <c r="L105" s="11">
        <v>0.169061099909296</v>
      </c>
    </row>
    <row r="106" spans="1:12">
      <c r="A106" s="2">
        <v>60</v>
      </c>
      <c r="B106" s="2">
        <v>5.8</v>
      </c>
      <c r="C106" s="2">
        <v>8</v>
      </c>
      <c r="D106" s="2">
        <v>0</v>
      </c>
      <c r="E106" s="2">
        <v>1</v>
      </c>
      <c r="F106" s="2">
        <v>21.8</v>
      </c>
      <c r="G106" s="5">
        <v>0.868253123396246</v>
      </c>
      <c r="H106" s="6">
        <v>43.9</v>
      </c>
      <c r="I106" s="2">
        <v>25.4</v>
      </c>
      <c r="J106" s="6">
        <v>119.582966983577</v>
      </c>
      <c r="K106" s="10">
        <v>7.02238034988798</v>
      </c>
      <c r="L106" s="11">
        <v>0.157305881351113</v>
      </c>
    </row>
    <row r="107" spans="1:12">
      <c r="A107" s="2">
        <v>62.5</v>
      </c>
      <c r="B107" s="2">
        <v>5.8</v>
      </c>
      <c r="C107" s="2">
        <v>8</v>
      </c>
      <c r="D107" s="2">
        <v>0</v>
      </c>
      <c r="E107" s="2">
        <v>1</v>
      </c>
      <c r="F107" s="2">
        <v>21.8</v>
      </c>
      <c r="G107" s="5">
        <v>0.850790029374404</v>
      </c>
      <c r="H107" s="6">
        <v>46.1</v>
      </c>
      <c r="I107" s="2">
        <v>27</v>
      </c>
      <c r="J107" s="6">
        <v>131.537307221923</v>
      </c>
      <c r="K107" s="10">
        <v>7.1114592542387</v>
      </c>
      <c r="L107" s="11">
        <v>0.146742334586464</v>
      </c>
    </row>
    <row r="108" spans="1:12">
      <c r="A108" s="2">
        <v>65</v>
      </c>
      <c r="B108" s="2">
        <v>5.8</v>
      </c>
      <c r="C108" s="2">
        <v>8</v>
      </c>
      <c r="D108" s="2">
        <v>0</v>
      </c>
      <c r="E108" s="2">
        <v>1</v>
      </c>
      <c r="F108" s="2">
        <v>21.8</v>
      </c>
      <c r="G108" s="5">
        <v>0.831152647810126</v>
      </c>
      <c r="H108" s="6">
        <v>48.4</v>
      </c>
      <c r="I108" s="2">
        <v>29.4</v>
      </c>
      <c r="J108" s="6">
        <v>144.822522324778</v>
      </c>
      <c r="K108" s="10">
        <v>7.42489937580696</v>
      </c>
      <c r="L108" s="11">
        <v>0.138941852249314</v>
      </c>
    </row>
    <row r="109" spans="1:12">
      <c r="A109" s="2">
        <v>67.5</v>
      </c>
      <c r="B109" s="2">
        <v>5.8</v>
      </c>
      <c r="C109" s="2">
        <v>8</v>
      </c>
      <c r="D109" s="2">
        <v>0</v>
      </c>
      <c r="E109" s="2">
        <v>1</v>
      </c>
      <c r="F109" s="2">
        <v>21.8</v>
      </c>
      <c r="G109" s="5">
        <v>0.809058400419842</v>
      </c>
      <c r="H109" s="6">
        <v>49.8</v>
      </c>
      <c r="I109" s="2">
        <v>31.2</v>
      </c>
      <c r="J109" s="6">
        <v>163.652967132717</v>
      </c>
      <c r="K109" s="10">
        <v>7.97724401115516</v>
      </c>
      <c r="L109" s="11">
        <v>0.130519675019575</v>
      </c>
    </row>
    <row r="110" spans="1:12">
      <c r="A110" s="2">
        <v>70</v>
      </c>
      <c r="B110" s="2">
        <v>5.8</v>
      </c>
      <c r="C110" s="2">
        <v>8</v>
      </c>
      <c r="D110" s="2">
        <v>0</v>
      </c>
      <c r="E110" s="2">
        <v>1</v>
      </c>
      <c r="F110" s="2">
        <v>21.9</v>
      </c>
      <c r="G110" s="5">
        <v>0.784179277129304</v>
      </c>
      <c r="H110" s="6">
        <v>51.6</v>
      </c>
      <c r="I110" s="2">
        <v>34.3</v>
      </c>
      <c r="J110" s="6">
        <v>183.695202307445</v>
      </c>
      <c r="K110" s="10">
        <v>8.85524620167969</v>
      </c>
      <c r="L110" s="11">
        <v>0.126677678734053</v>
      </c>
    </row>
    <row r="111" spans="1:12">
      <c r="A111" s="2">
        <v>45</v>
      </c>
      <c r="B111" s="2">
        <v>7.2</v>
      </c>
      <c r="C111" s="2">
        <v>8</v>
      </c>
      <c r="D111" s="2">
        <v>0</v>
      </c>
      <c r="E111" s="2">
        <v>1</v>
      </c>
      <c r="F111" s="2">
        <v>21.9</v>
      </c>
      <c r="G111" s="5">
        <v>0.93913980595102</v>
      </c>
      <c r="H111" s="6">
        <v>38.2</v>
      </c>
      <c r="I111" s="2">
        <v>18.3</v>
      </c>
      <c r="J111" s="6">
        <v>55.1279035004573</v>
      </c>
      <c r="K111" s="10">
        <v>5.86057163176584</v>
      </c>
      <c r="L111" s="11">
        <v>0.202123452676382</v>
      </c>
    </row>
    <row r="112" spans="1:12">
      <c r="A112" s="2">
        <v>47.5</v>
      </c>
      <c r="B112" s="2">
        <v>7.2</v>
      </c>
      <c r="C112" s="2">
        <v>8</v>
      </c>
      <c r="D112" s="2">
        <v>0</v>
      </c>
      <c r="E112" s="2">
        <v>1</v>
      </c>
      <c r="F112" s="2">
        <v>21.9</v>
      </c>
      <c r="G112" s="5">
        <v>0.930523923822277</v>
      </c>
      <c r="H112" s="6">
        <v>39.6</v>
      </c>
      <c r="I112" s="2">
        <v>19.3</v>
      </c>
      <c r="J112" s="6">
        <v>63.9742164110367</v>
      </c>
      <c r="K112" s="10">
        <v>5.79704610187322</v>
      </c>
      <c r="L112" s="11">
        <v>0.186451434211125</v>
      </c>
    </row>
    <row r="113" spans="1:12">
      <c r="A113" s="2">
        <v>50</v>
      </c>
      <c r="B113" s="2">
        <v>7.2</v>
      </c>
      <c r="C113" s="2">
        <v>8</v>
      </c>
      <c r="D113" s="2">
        <v>0</v>
      </c>
      <c r="E113" s="2">
        <v>1</v>
      </c>
      <c r="F113" s="2">
        <v>21.9</v>
      </c>
      <c r="G113" s="5">
        <v>0.920818198615511</v>
      </c>
      <c r="H113" s="6">
        <v>40.4</v>
      </c>
      <c r="I113" s="2">
        <v>20</v>
      </c>
      <c r="J113" s="6">
        <v>76.4418653684547</v>
      </c>
      <c r="K113" s="10">
        <v>6.07056216404571</v>
      </c>
      <c r="L113" s="11">
        <v>0.170673372947</v>
      </c>
    </row>
    <row r="114" spans="1:12">
      <c r="A114" s="2">
        <v>52.5</v>
      </c>
      <c r="B114" s="2">
        <v>7.2</v>
      </c>
      <c r="C114" s="2">
        <v>8</v>
      </c>
      <c r="D114" s="2">
        <v>0</v>
      </c>
      <c r="E114" s="2">
        <v>1</v>
      </c>
      <c r="F114" s="2">
        <v>21.8</v>
      </c>
      <c r="G114" s="5">
        <v>0.909893599259399</v>
      </c>
      <c r="H114" s="6">
        <v>41</v>
      </c>
      <c r="I114" s="2">
        <v>21.2</v>
      </c>
      <c r="J114" s="6">
        <v>91.5951700804727</v>
      </c>
      <c r="K114" s="10">
        <v>6.64412931819555</v>
      </c>
      <c r="L114" s="11">
        <v>0.158567325223025</v>
      </c>
    </row>
    <row r="115" spans="1:12">
      <c r="A115" s="2">
        <v>55</v>
      </c>
      <c r="B115" s="2">
        <v>7.2</v>
      </c>
      <c r="C115" s="2">
        <v>8</v>
      </c>
      <c r="D115" s="2">
        <v>0</v>
      </c>
      <c r="E115" s="2">
        <v>1</v>
      </c>
      <c r="F115" s="2">
        <v>21.7</v>
      </c>
      <c r="G115" s="5">
        <v>0.89760467536325</v>
      </c>
      <c r="H115" s="6">
        <v>42.6</v>
      </c>
      <c r="I115" s="2">
        <v>22.4</v>
      </c>
      <c r="J115" s="6">
        <v>103.784241647988</v>
      </c>
      <c r="K115" s="10">
        <v>6.75621267061932</v>
      </c>
      <c r="L115" s="11">
        <v>0.147453690171089</v>
      </c>
    </row>
    <row r="116" spans="1:12">
      <c r="A116" s="2">
        <v>57.5</v>
      </c>
      <c r="B116" s="2">
        <v>7.2</v>
      </c>
      <c r="C116" s="2">
        <v>8</v>
      </c>
      <c r="D116" s="2">
        <v>0</v>
      </c>
      <c r="E116" s="2">
        <v>1</v>
      </c>
      <c r="F116" s="2">
        <v>21.7</v>
      </c>
      <c r="G116" s="5">
        <v>0.883786850160418</v>
      </c>
      <c r="H116" s="6">
        <v>44.7</v>
      </c>
      <c r="I116" s="2">
        <v>23.9</v>
      </c>
      <c r="J116" s="6">
        <v>114.986790319791</v>
      </c>
      <c r="K116" s="10">
        <v>6.82623551556239</v>
      </c>
      <c r="L116" s="11">
        <v>0.137316314359153</v>
      </c>
    </row>
    <row r="117" spans="1:12">
      <c r="A117" s="2">
        <v>60</v>
      </c>
      <c r="B117" s="2">
        <v>7.2</v>
      </c>
      <c r="C117" s="2">
        <v>8</v>
      </c>
      <c r="D117" s="2">
        <v>0</v>
      </c>
      <c r="E117" s="2">
        <v>1</v>
      </c>
      <c r="F117" s="2">
        <v>21.7</v>
      </c>
      <c r="G117" s="5">
        <v>0.868253123396246</v>
      </c>
      <c r="H117" s="6">
        <v>47.3</v>
      </c>
      <c r="I117" s="2">
        <v>25.3</v>
      </c>
      <c r="J117" s="6">
        <v>124.728819987934</v>
      </c>
      <c r="K117" s="10">
        <v>6.70806436648425</v>
      </c>
      <c r="L117" s="11">
        <v>0.127699448730056</v>
      </c>
    </row>
    <row r="118" spans="1:12">
      <c r="A118" s="2">
        <v>62.5</v>
      </c>
      <c r="B118" s="2">
        <v>7.2</v>
      </c>
      <c r="C118" s="2">
        <v>8</v>
      </c>
      <c r="D118" s="2">
        <v>0</v>
      </c>
      <c r="E118" s="2">
        <v>1</v>
      </c>
      <c r="F118" s="2">
        <v>21.7</v>
      </c>
      <c r="G118" s="5">
        <v>0.850790029374404</v>
      </c>
      <c r="H118" s="6">
        <v>50.5</v>
      </c>
      <c r="I118" s="2">
        <v>27.5</v>
      </c>
      <c r="J118" s="6">
        <v>132.136073017283</v>
      </c>
      <c r="K118" s="10">
        <v>6.58644064583972</v>
      </c>
      <c r="L118" s="11">
        <v>0.120460416697384</v>
      </c>
    </row>
    <row r="119" spans="1:12">
      <c r="A119" s="2">
        <v>65</v>
      </c>
      <c r="B119" s="2">
        <v>7.2</v>
      </c>
      <c r="C119" s="2">
        <v>8</v>
      </c>
      <c r="D119" s="2">
        <v>0</v>
      </c>
      <c r="E119" s="2">
        <v>1</v>
      </c>
      <c r="F119" s="2">
        <v>21.7</v>
      </c>
      <c r="G119" s="5">
        <v>0.831152647810126</v>
      </c>
      <c r="H119" s="6">
        <v>54.1</v>
      </c>
      <c r="I119" s="2">
        <v>29.5</v>
      </c>
      <c r="J119" s="6">
        <v>136.915380173327</v>
      </c>
      <c r="K119" s="10">
        <v>6.28257444276756</v>
      </c>
      <c r="L119" s="11">
        <v>0.11350599932253</v>
      </c>
    </row>
    <row r="120" spans="1:12">
      <c r="A120" s="2">
        <v>67.5</v>
      </c>
      <c r="B120" s="2">
        <v>7.2</v>
      </c>
      <c r="C120" s="2">
        <v>8</v>
      </c>
      <c r="D120" s="2">
        <v>0</v>
      </c>
      <c r="E120" s="2">
        <v>1</v>
      </c>
      <c r="F120" s="2">
        <v>21.8</v>
      </c>
      <c r="G120" s="5">
        <v>0.809058400419842</v>
      </c>
      <c r="H120" s="6">
        <v>57</v>
      </c>
      <c r="I120" s="2">
        <v>31.4</v>
      </c>
      <c r="J120" s="6">
        <v>146.93931976053</v>
      </c>
      <c r="K120" s="10">
        <v>6.33306039336991</v>
      </c>
      <c r="L120" s="11">
        <v>0.106685854968608</v>
      </c>
    </row>
    <row r="121" spans="1:12">
      <c r="A121" s="2">
        <v>70</v>
      </c>
      <c r="B121" s="2">
        <v>7.2</v>
      </c>
      <c r="C121" s="2">
        <v>8</v>
      </c>
      <c r="D121" s="2">
        <v>0</v>
      </c>
      <c r="E121" s="2">
        <v>1</v>
      </c>
      <c r="F121" s="2">
        <v>21.9</v>
      </c>
      <c r="G121" s="5">
        <v>0.784179277129304</v>
      </c>
      <c r="H121" s="6">
        <v>59</v>
      </c>
      <c r="I121" s="2">
        <v>33.2</v>
      </c>
      <c r="J121" s="6">
        <v>166.110893338792</v>
      </c>
      <c r="K121" s="10">
        <v>6.82592876993588</v>
      </c>
      <c r="L121" s="11">
        <v>0.100571515760389</v>
      </c>
    </row>
    <row r="122" spans="1:12">
      <c r="A122" s="1">
        <v>45</v>
      </c>
      <c r="B122" s="1">
        <v>4.5</v>
      </c>
      <c r="C122" s="1">
        <v>2.5</v>
      </c>
      <c r="D122" s="1">
        <v>0</v>
      </c>
      <c r="E122" s="2">
        <v>2</v>
      </c>
      <c r="F122" s="1">
        <v>22</v>
      </c>
      <c r="G122" s="3">
        <v>0.93913980595102</v>
      </c>
      <c r="H122" s="4">
        <v>35.7</v>
      </c>
      <c r="I122" s="1">
        <v>11.6</v>
      </c>
      <c r="J122" s="4">
        <v>34.5636789927086</v>
      </c>
      <c r="K122" s="13">
        <v>2.76182545847856</v>
      </c>
      <c r="L122" s="9">
        <v>0.117365443096772</v>
      </c>
    </row>
    <row r="123" spans="1:12">
      <c r="A123" s="1">
        <v>50</v>
      </c>
      <c r="B123" s="1">
        <v>4.5</v>
      </c>
      <c r="C123" s="1">
        <v>2.5</v>
      </c>
      <c r="D123" s="1">
        <v>0</v>
      </c>
      <c r="E123" s="2">
        <v>2</v>
      </c>
      <c r="F123" s="1">
        <v>22</v>
      </c>
      <c r="G123" s="3">
        <v>0.920818198615511</v>
      </c>
      <c r="H123" s="4">
        <v>40.3</v>
      </c>
      <c r="I123" s="1">
        <v>15.5</v>
      </c>
      <c r="J123" s="4">
        <v>42.4016748132982</v>
      </c>
      <c r="K123" s="13">
        <v>2.78661186404985</v>
      </c>
      <c r="L123" s="9">
        <v>0.105406821578125</v>
      </c>
    </row>
    <row r="124" spans="1:12">
      <c r="A124" s="1">
        <v>55</v>
      </c>
      <c r="B124" s="1">
        <v>4.5</v>
      </c>
      <c r="C124" s="1">
        <v>2.5</v>
      </c>
      <c r="D124" s="1">
        <v>0</v>
      </c>
      <c r="E124" s="2">
        <v>2</v>
      </c>
      <c r="F124" s="1">
        <v>22</v>
      </c>
      <c r="G124" s="3">
        <v>0.89760467536325</v>
      </c>
      <c r="H124" s="4">
        <v>45.9</v>
      </c>
      <c r="I124" s="1">
        <v>21.5</v>
      </c>
      <c r="J124" s="4">
        <v>48.9862093333355</v>
      </c>
      <c r="K124" s="13">
        <v>2.88991543942159</v>
      </c>
      <c r="L124" s="9">
        <v>0.0961252342466017</v>
      </c>
    </row>
    <row r="125" spans="1:12">
      <c r="A125" s="1">
        <v>60</v>
      </c>
      <c r="B125" s="1">
        <v>4.5</v>
      </c>
      <c r="C125" s="1">
        <v>2.5</v>
      </c>
      <c r="D125" s="1">
        <v>0</v>
      </c>
      <c r="E125" s="2">
        <v>2</v>
      </c>
      <c r="F125" s="1">
        <v>22</v>
      </c>
      <c r="G125" s="3">
        <v>0.868253123396246</v>
      </c>
      <c r="H125" s="4">
        <v>51.6</v>
      </c>
      <c r="I125" s="1">
        <v>23.6</v>
      </c>
      <c r="J125" s="4">
        <v>55.3906881873281</v>
      </c>
      <c r="K125" s="13">
        <v>2.62575969619921</v>
      </c>
      <c r="L125" s="9">
        <v>0.0815452050646361</v>
      </c>
    </row>
    <row r="126" spans="1:12">
      <c r="A126" s="1">
        <v>65</v>
      </c>
      <c r="B126" s="1">
        <v>4.5</v>
      </c>
      <c r="C126" s="1">
        <v>2.5</v>
      </c>
      <c r="D126" s="1">
        <v>0</v>
      </c>
      <c r="E126" s="2">
        <v>2</v>
      </c>
      <c r="F126" s="1">
        <v>22</v>
      </c>
      <c r="G126" s="3">
        <v>0.831152647810126</v>
      </c>
      <c r="H126" s="4">
        <v>57</v>
      </c>
      <c r="I126" s="1">
        <v>27.8</v>
      </c>
      <c r="J126" s="4">
        <v>64.6643607760081</v>
      </c>
      <c r="K126" s="13">
        <v>2.72391315190376</v>
      </c>
      <c r="L126" s="9">
        <v>0.0711335856311337</v>
      </c>
    </row>
    <row r="127" spans="1:12">
      <c r="A127" s="1">
        <v>70</v>
      </c>
      <c r="B127" s="1">
        <v>4.5</v>
      </c>
      <c r="C127" s="1">
        <v>2.5</v>
      </c>
      <c r="D127" s="1">
        <v>0</v>
      </c>
      <c r="E127" s="2">
        <v>2</v>
      </c>
      <c r="F127" s="1">
        <v>22</v>
      </c>
      <c r="G127" s="3">
        <v>0.784179277129304</v>
      </c>
      <c r="H127" s="4">
        <v>63.2</v>
      </c>
      <c r="I127" s="1">
        <v>29.3</v>
      </c>
      <c r="J127" s="4">
        <v>70.2968340355737</v>
      </c>
      <c r="K127" s="13">
        <v>2.46793354899784</v>
      </c>
      <c r="L127" s="9">
        <v>0.0603451867610981</v>
      </c>
    </row>
    <row r="128" spans="1:12">
      <c r="A128" s="1">
        <v>45</v>
      </c>
      <c r="B128" s="1">
        <v>5.6</v>
      </c>
      <c r="C128" s="1">
        <v>2.5</v>
      </c>
      <c r="D128" s="1">
        <v>0</v>
      </c>
      <c r="E128" s="2">
        <v>2</v>
      </c>
      <c r="F128" s="1">
        <v>22</v>
      </c>
      <c r="G128" s="3">
        <v>0.93913980595102</v>
      </c>
      <c r="H128" s="4">
        <v>37.2</v>
      </c>
      <c r="I128" s="1">
        <v>13.2</v>
      </c>
      <c r="J128" s="4">
        <v>36.9512633696279</v>
      </c>
      <c r="K128" s="13">
        <v>3.00340581811093</v>
      </c>
      <c r="L128" s="9">
        <v>0.0987197790505388</v>
      </c>
    </row>
    <row r="129" spans="1:12">
      <c r="A129" s="1">
        <v>50</v>
      </c>
      <c r="B129" s="1">
        <v>5.6</v>
      </c>
      <c r="C129" s="1">
        <v>2.5</v>
      </c>
      <c r="D129" s="1">
        <v>0</v>
      </c>
      <c r="E129" s="2">
        <v>2</v>
      </c>
      <c r="F129" s="1">
        <v>22</v>
      </c>
      <c r="G129" s="3">
        <v>0.920818198615511</v>
      </c>
      <c r="H129" s="4">
        <v>40.9</v>
      </c>
      <c r="I129" s="1">
        <v>17.9</v>
      </c>
      <c r="J129" s="4">
        <v>48.9232854584591</v>
      </c>
      <c r="K129" s="13">
        <v>3.48370761911052</v>
      </c>
      <c r="L129" s="9">
        <v>0.0889194589420692</v>
      </c>
    </row>
    <row r="130" spans="1:12">
      <c r="A130" s="1">
        <v>55</v>
      </c>
      <c r="B130" s="1">
        <v>5.6</v>
      </c>
      <c r="C130" s="1">
        <v>2.5</v>
      </c>
      <c r="D130" s="1">
        <v>0</v>
      </c>
      <c r="E130" s="2">
        <v>2</v>
      </c>
      <c r="F130" s="1">
        <v>22</v>
      </c>
      <c r="G130" s="3">
        <v>0.89760467536325</v>
      </c>
      <c r="H130" s="4">
        <v>45.8</v>
      </c>
      <c r="I130" s="1">
        <v>22.8</v>
      </c>
      <c r="J130" s="4">
        <v>59.088103906484</v>
      </c>
      <c r="K130" s="13">
        <v>3.68126647163975</v>
      </c>
      <c r="L130" s="9">
        <v>0.0786471343359743</v>
      </c>
    </row>
    <row r="131" spans="1:12">
      <c r="A131" s="1">
        <v>60</v>
      </c>
      <c r="B131" s="1">
        <v>5.6</v>
      </c>
      <c r="C131" s="1">
        <v>2.5</v>
      </c>
      <c r="D131" s="1">
        <v>0</v>
      </c>
      <c r="E131" s="2">
        <v>2</v>
      </c>
      <c r="F131" s="1">
        <v>22</v>
      </c>
      <c r="G131" s="3">
        <v>0.868253123396246</v>
      </c>
      <c r="H131" s="4">
        <v>50.4</v>
      </c>
      <c r="I131" s="1">
        <v>27.5</v>
      </c>
      <c r="J131" s="4">
        <v>73.0879189647522</v>
      </c>
      <c r="K131" s="13">
        <v>4.0627650511294</v>
      </c>
      <c r="L131" s="9">
        <v>0.0686875747486655</v>
      </c>
    </row>
    <row r="132" spans="1:12">
      <c r="A132" s="1">
        <v>65</v>
      </c>
      <c r="B132" s="1">
        <v>5.6</v>
      </c>
      <c r="C132" s="1">
        <v>2.5</v>
      </c>
      <c r="D132" s="1">
        <v>0</v>
      </c>
      <c r="E132" s="2">
        <v>2</v>
      </c>
      <c r="F132" s="1">
        <v>22</v>
      </c>
      <c r="G132" s="3">
        <v>0.831152647810126</v>
      </c>
      <c r="H132" s="4">
        <v>56.5</v>
      </c>
      <c r="I132" s="1">
        <v>31</v>
      </c>
      <c r="J132" s="4">
        <v>81.5207563702851</v>
      </c>
      <c r="K132" s="13">
        <v>3.82623167874073</v>
      </c>
      <c r="L132" s="9">
        <v>0.0596114890895202</v>
      </c>
    </row>
    <row r="133" spans="1:12">
      <c r="A133" s="1">
        <v>70</v>
      </c>
      <c r="B133" s="1">
        <v>5.6</v>
      </c>
      <c r="C133" s="1">
        <v>2.5</v>
      </c>
      <c r="D133" s="1">
        <v>0</v>
      </c>
      <c r="E133" s="2">
        <v>2</v>
      </c>
      <c r="F133" s="1">
        <v>22</v>
      </c>
      <c r="G133" s="3">
        <v>0.784179277129304</v>
      </c>
      <c r="H133" s="4">
        <v>64</v>
      </c>
      <c r="I133" s="1">
        <v>35.6</v>
      </c>
      <c r="J133" s="4">
        <v>78.8887655876071</v>
      </c>
      <c r="K133" s="13">
        <v>3.25142484838256</v>
      </c>
      <c r="L133" s="9">
        <v>0.0539337311503248</v>
      </c>
    </row>
    <row r="134" spans="1:12">
      <c r="A134" s="1">
        <v>45</v>
      </c>
      <c r="B134" s="1">
        <v>6.8</v>
      </c>
      <c r="C134" s="1">
        <v>2.5</v>
      </c>
      <c r="D134" s="1">
        <v>0</v>
      </c>
      <c r="E134" s="2">
        <v>2</v>
      </c>
      <c r="F134" s="1">
        <v>22</v>
      </c>
      <c r="G134" s="3">
        <v>0.93913980595102</v>
      </c>
      <c r="H134" s="4">
        <v>37.8</v>
      </c>
      <c r="I134" s="1">
        <v>14.7</v>
      </c>
      <c r="J134" s="4">
        <v>41.0979914699756</v>
      </c>
      <c r="K134" s="13">
        <v>3.52760185025023</v>
      </c>
      <c r="L134" s="9">
        <v>0.0843825857347987</v>
      </c>
    </row>
    <row r="135" spans="1:12">
      <c r="A135" s="1">
        <v>50</v>
      </c>
      <c r="B135" s="1">
        <v>6.8</v>
      </c>
      <c r="C135" s="1">
        <v>2.5</v>
      </c>
      <c r="D135" s="1">
        <v>0</v>
      </c>
      <c r="E135" s="2">
        <v>2</v>
      </c>
      <c r="F135" s="1">
        <v>22</v>
      </c>
      <c r="G135" s="3">
        <v>0.920818198615511</v>
      </c>
      <c r="H135" s="4">
        <v>41.5</v>
      </c>
      <c r="I135" s="1">
        <v>18.9</v>
      </c>
      <c r="J135" s="4">
        <v>54.958922267127</v>
      </c>
      <c r="K135" s="13">
        <v>4.02753806510668</v>
      </c>
      <c r="L135" s="9">
        <v>0.0745981806692372</v>
      </c>
    </row>
    <row r="136" spans="1:12">
      <c r="A136" s="1">
        <v>55</v>
      </c>
      <c r="B136" s="1">
        <v>6.8</v>
      </c>
      <c r="C136" s="1">
        <v>2.5</v>
      </c>
      <c r="D136" s="1">
        <v>0</v>
      </c>
      <c r="E136" s="2">
        <v>2</v>
      </c>
      <c r="F136" s="1">
        <v>22</v>
      </c>
      <c r="G136" s="3">
        <v>0.89760467536325</v>
      </c>
      <c r="H136" s="4">
        <v>46.2</v>
      </c>
      <c r="I136" s="1">
        <v>23.3</v>
      </c>
      <c r="J136" s="4">
        <v>67.5456423206533</v>
      </c>
      <c r="K136" s="13">
        <v>4.2587608894458</v>
      </c>
      <c r="L136" s="9">
        <v>0.0652432497946915</v>
      </c>
    </row>
    <row r="137" spans="1:12">
      <c r="A137" s="1">
        <v>60</v>
      </c>
      <c r="B137" s="1">
        <v>6.8</v>
      </c>
      <c r="C137" s="1">
        <v>2.5</v>
      </c>
      <c r="D137" s="1">
        <v>0</v>
      </c>
      <c r="E137" s="2">
        <v>2</v>
      </c>
      <c r="F137" s="1">
        <v>22</v>
      </c>
      <c r="G137" s="3">
        <v>0.868253123396246</v>
      </c>
      <c r="H137" s="4">
        <v>50.9</v>
      </c>
      <c r="I137" s="1">
        <v>28</v>
      </c>
      <c r="J137" s="4">
        <v>83.3933859614105</v>
      </c>
      <c r="K137" s="13">
        <v>4.6826334965985</v>
      </c>
      <c r="L137" s="9">
        <v>0.0569650331275332</v>
      </c>
    </row>
    <row r="138" spans="1:12">
      <c r="A138" s="1">
        <v>65</v>
      </c>
      <c r="B138" s="1">
        <v>6.8</v>
      </c>
      <c r="C138" s="1">
        <v>2.5</v>
      </c>
      <c r="D138" s="1">
        <v>0</v>
      </c>
      <c r="E138" s="2">
        <v>2</v>
      </c>
      <c r="F138" s="1">
        <v>22</v>
      </c>
      <c r="G138" s="3">
        <v>0.831152647810126</v>
      </c>
      <c r="H138" s="4">
        <v>57</v>
      </c>
      <c r="I138" s="1">
        <v>31.4</v>
      </c>
      <c r="J138" s="4">
        <v>92.6387451027619</v>
      </c>
      <c r="K138" s="13">
        <v>4.37200625172305</v>
      </c>
      <c r="L138" s="9">
        <v>0.0494195192134837</v>
      </c>
    </row>
    <row r="139" spans="1:12">
      <c r="A139" s="1">
        <v>70</v>
      </c>
      <c r="B139" s="1">
        <v>6.8</v>
      </c>
      <c r="C139" s="1">
        <v>2.5</v>
      </c>
      <c r="D139" s="1">
        <v>0</v>
      </c>
      <c r="E139" s="2">
        <v>2</v>
      </c>
      <c r="F139" s="1">
        <v>22</v>
      </c>
      <c r="G139" s="3">
        <v>0.784179277129304</v>
      </c>
      <c r="H139" s="4">
        <v>63.8</v>
      </c>
      <c r="I139" s="1">
        <v>36.8</v>
      </c>
      <c r="J139" s="4">
        <v>95.6679550213466</v>
      </c>
      <c r="K139" s="13">
        <v>4.11741922979141</v>
      </c>
      <c r="L139" s="9">
        <v>0.0456588104068714</v>
      </c>
    </row>
    <row r="140" spans="1:12">
      <c r="A140" s="1">
        <v>45</v>
      </c>
      <c r="B140" s="1">
        <v>8</v>
      </c>
      <c r="C140" s="1">
        <v>2.5</v>
      </c>
      <c r="D140" s="1">
        <v>0</v>
      </c>
      <c r="E140" s="2">
        <v>2</v>
      </c>
      <c r="F140" s="1">
        <v>22.1</v>
      </c>
      <c r="G140" s="3">
        <v>0.93913980595102</v>
      </c>
      <c r="H140" s="4">
        <v>38.5</v>
      </c>
      <c r="I140" s="1">
        <v>16.5</v>
      </c>
      <c r="J140" s="4">
        <v>43.9466286326714</v>
      </c>
      <c r="K140" s="13">
        <v>4.13530455887116</v>
      </c>
      <c r="L140" s="9">
        <v>0.0745208510492311</v>
      </c>
    </row>
    <row r="141" spans="1:12">
      <c r="A141" s="1">
        <v>50</v>
      </c>
      <c r="B141" s="1">
        <v>8</v>
      </c>
      <c r="C141" s="1">
        <v>2.5</v>
      </c>
      <c r="D141" s="1">
        <v>0</v>
      </c>
      <c r="E141" s="2">
        <v>2</v>
      </c>
      <c r="F141" s="1">
        <v>22.1</v>
      </c>
      <c r="G141" s="3">
        <v>0.920818198615511</v>
      </c>
      <c r="H141" s="4">
        <v>41.8</v>
      </c>
      <c r="I141" s="1">
        <v>19.1</v>
      </c>
      <c r="J141" s="4">
        <v>61.414386235949</v>
      </c>
      <c r="K141" s="13">
        <v>4.54053412175438</v>
      </c>
      <c r="L141" s="9">
        <v>0.0635458518880665</v>
      </c>
    </row>
    <row r="142" spans="1:12">
      <c r="A142" s="1">
        <v>55</v>
      </c>
      <c r="B142" s="1">
        <v>8</v>
      </c>
      <c r="C142" s="1">
        <v>2.5</v>
      </c>
      <c r="D142" s="1">
        <v>0</v>
      </c>
      <c r="E142" s="2">
        <v>2</v>
      </c>
      <c r="F142" s="1">
        <v>22.1</v>
      </c>
      <c r="G142" s="3">
        <v>0.89760467536325</v>
      </c>
      <c r="H142" s="4">
        <v>47</v>
      </c>
      <c r="I142" s="1">
        <v>24.7</v>
      </c>
      <c r="J142" s="4">
        <v>72.814609844039</v>
      </c>
      <c r="K142" s="13">
        <v>4.84297229384292</v>
      </c>
      <c r="L142" s="9">
        <v>0.056434916385145</v>
      </c>
    </row>
    <row r="143" spans="1:12">
      <c r="A143" s="1">
        <v>60</v>
      </c>
      <c r="B143" s="1">
        <v>8</v>
      </c>
      <c r="C143" s="1">
        <v>2.5</v>
      </c>
      <c r="D143" s="1">
        <v>0</v>
      </c>
      <c r="E143" s="2">
        <v>2</v>
      </c>
      <c r="F143" s="1">
        <v>22.1</v>
      </c>
      <c r="G143" s="3">
        <v>0.868253123396246</v>
      </c>
      <c r="H143" s="4">
        <v>51.6</v>
      </c>
      <c r="I143" s="1">
        <v>28.8</v>
      </c>
      <c r="J143" s="4">
        <v>91.0395780091374</v>
      </c>
      <c r="K143" s="13">
        <v>5.24868091459516</v>
      </c>
      <c r="L143" s="9">
        <v>0.0488891116591009</v>
      </c>
    </row>
    <row r="144" spans="1:12">
      <c r="A144" s="1">
        <v>65</v>
      </c>
      <c r="B144" s="1">
        <v>8</v>
      </c>
      <c r="C144" s="1">
        <v>2.5</v>
      </c>
      <c r="D144" s="1">
        <v>0</v>
      </c>
      <c r="E144" s="2">
        <v>2</v>
      </c>
      <c r="F144" s="1">
        <v>22.1</v>
      </c>
      <c r="G144" s="3">
        <v>0.831152647810126</v>
      </c>
      <c r="H144" s="4">
        <v>57.9</v>
      </c>
      <c r="I144" s="1">
        <v>32.5</v>
      </c>
      <c r="J144" s="4">
        <v>98.4329924707362</v>
      </c>
      <c r="K144" s="13">
        <v>4.79043955779361</v>
      </c>
      <c r="L144" s="9">
        <v>0.0427449029238615</v>
      </c>
    </row>
    <row r="145" spans="1:12">
      <c r="A145" s="1">
        <v>70</v>
      </c>
      <c r="B145" s="1">
        <v>8</v>
      </c>
      <c r="C145" s="1">
        <v>2.5</v>
      </c>
      <c r="D145" s="1">
        <v>0</v>
      </c>
      <c r="E145" s="2">
        <v>2</v>
      </c>
      <c r="F145" s="1">
        <v>22.1</v>
      </c>
      <c r="G145" s="3">
        <v>0.784179277129304</v>
      </c>
      <c r="H145" s="4">
        <v>63.8</v>
      </c>
      <c r="I145" s="1">
        <v>37.5</v>
      </c>
      <c r="J145" s="4">
        <v>110.522639887488</v>
      </c>
      <c r="K145" s="13">
        <v>4.90358699870626</v>
      </c>
      <c r="L145" s="9">
        <v>0.0395175791530666</v>
      </c>
    </row>
    <row r="146" spans="1:12">
      <c r="A146" s="1">
        <v>45</v>
      </c>
      <c r="B146" s="1">
        <v>4.5</v>
      </c>
      <c r="C146" s="1">
        <v>4.5</v>
      </c>
      <c r="D146" s="1">
        <v>0</v>
      </c>
      <c r="E146" s="2">
        <v>2</v>
      </c>
      <c r="F146" s="1">
        <v>22.3</v>
      </c>
      <c r="G146" s="3">
        <v>0.93913980595102</v>
      </c>
      <c r="H146" s="4">
        <v>31.2</v>
      </c>
      <c r="I146" s="1">
        <v>11.6</v>
      </c>
      <c r="J146" s="4">
        <v>50.4970292653497</v>
      </c>
      <c r="K146" s="13">
        <v>5.07021921720014</v>
      </c>
      <c r="L146" s="9">
        <v>0.209024327936026</v>
      </c>
    </row>
    <row r="147" spans="1:12">
      <c r="A147" s="1">
        <v>50</v>
      </c>
      <c r="B147" s="1">
        <v>4.5</v>
      </c>
      <c r="C147" s="1">
        <v>4.5</v>
      </c>
      <c r="D147" s="1">
        <v>0</v>
      </c>
      <c r="E147" s="2">
        <v>2</v>
      </c>
      <c r="F147" s="1">
        <v>22.3</v>
      </c>
      <c r="G147" s="3">
        <v>0.920818198615511</v>
      </c>
      <c r="H147" s="4">
        <v>34.5</v>
      </c>
      <c r="I147" s="1">
        <v>15.9</v>
      </c>
      <c r="J147" s="4">
        <v>63.7087318317621</v>
      </c>
      <c r="K147" s="13">
        <v>5.30955264764731</v>
      </c>
      <c r="L147" s="9">
        <v>0.188763356705649</v>
      </c>
    </row>
    <row r="148" spans="1:12">
      <c r="A148" s="1">
        <v>55</v>
      </c>
      <c r="B148" s="1">
        <v>4.5</v>
      </c>
      <c r="C148" s="1">
        <v>4.5</v>
      </c>
      <c r="D148" s="1">
        <v>0</v>
      </c>
      <c r="E148" s="2">
        <v>2</v>
      </c>
      <c r="F148" s="1">
        <v>22.3</v>
      </c>
      <c r="G148" s="3">
        <v>0.89760467536325</v>
      </c>
      <c r="H148" s="4">
        <v>38.6</v>
      </c>
      <c r="I148" s="1">
        <v>22.1</v>
      </c>
      <c r="J148" s="4">
        <v>78.2273194520203</v>
      </c>
      <c r="K148" s="13">
        <v>5.90562884336111</v>
      </c>
      <c r="L148" s="9">
        <v>0.171603112304424</v>
      </c>
    </row>
    <row r="149" spans="1:12">
      <c r="A149" s="1">
        <v>60</v>
      </c>
      <c r="B149" s="1">
        <v>4.5</v>
      </c>
      <c r="C149" s="1">
        <v>4.5</v>
      </c>
      <c r="D149" s="1">
        <v>0</v>
      </c>
      <c r="E149" s="2">
        <v>2</v>
      </c>
      <c r="F149" s="1">
        <v>22.3</v>
      </c>
      <c r="G149" s="3">
        <v>0.868253123396246</v>
      </c>
      <c r="H149" s="4">
        <v>43.2</v>
      </c>
      <c r="I149" s="1">
        <v>26.3</v>
      </c>
      <c r="J149" s="4">
        <v>93.7837796924951</v>
      </c>
      <c r="K149" s="13">
        <v>5.98375859639705</v>
      </c>
      <c r="L149" s="9">
        <v>0.149124990674608</v>
      </c>
    </row>
    <row r="150" spans="1:12">
      <c r="A150" s="1">
        <v>65</v>
      </c>
      <c r="B150" s="1">
        <v>4.5</v>
      </c>
      <c r="C150" s="1">
        <v>4.5</v>
      </c>
      <c r="D150" s="1">
        <v>0</v>
      </c>
      <c r="E150" s="2">
        <v>2</v>
      </c>
      <c r="F150" s="1">
        <v>22.3</v>
      </c>
      <c r="G150" s="3">
        <v>0.831152647810126</v>
      </c>
      <c r="H150" s="4">
        <v>48.6</v>
      </c>
      <c r="I150" s="1">
        <v>28.5</v>
      </c>
      <c r="J150" s="4">
        <v>109.77915795506</v>
      </c>
      <c r="K150" s="13">
        <v>5.591723660661</v>
      </c>
      <c r="L150" s="9">
        <v>0.126925233980594</v>
      </c>
    </row>
    <row r="151" spans="1:12">
      <c r="A151" s="1">
        <v>70</v>
      </c>
      <c r="B151" s="1">
        <v>4.5</v>
      </c>
      <c r="C151" s="1">
        <v>4.5</v>
      </c>
      <c r="D151" s="1">
        <v>0</v>
      </c>
      <c r="E151" s="2">
        <v>2</v>
      </c>
      <c r="F151" s="1">
        <v>22.3</v>
      </c>
      <c r="G151" s="3">
        <v>0.784179277129304</v>
      </c>
      <c r="H151" s="4">
        <v>53.6</v>
      </c>
      <c r="I151" s="1">
        <v>30</v>
      </c>
      <c r="J151" s="4">
        <v>130.991623361943</v>
      </c>
      <c r="K151" s="13">
        <v>5.49060498986015</v>
      </c>
      <c r="L151" s="9">
        <v>0.107613461705508</v>
      </c>
    </row>
    <row r="152" spans="1:12">
      <c r="A152" s="1">
        <v>45</v>
      </c>
      <c r="B152" s="1">
        <v>5.6</v>
      </c>
      <c r="C152" s="1">
        <v>4.5</v>
      </c>
      <c r="D152" s="1">
        <v>0</v>
      </c>
      <c r="E152" s="2">
        <v>2</v>
      </c>
      <c r="F152" s="1">
        <v>22.3</v>
      </c>
      <c r="G152" s="3">
        <v>0.93913980595102</v>
      </c>
      <c r="H152" s="4">
        <v>32</v>
      </c>
      <c r="I152" s="1">
        <v>14.4</v>
      </c>
      <c r="J152" s="4">
        <v>58.4029032037187</v>
      </c>
      <c r="K152" s="13">
        <v>6.50234440908294</v>
      </c>
      <c r="L152" s="9">
        <v>0.180721093919905</v>
      </c>
    </row>
    <row r="153" spans="1:12">
      <c r="A153" s="1">
        <v>50</v>
      </c>
      <c r="B153" s="1">
        <v>5.6</v>
      </c>
      <c r="C153" s="1">
        <v>4.5</v>
      </c>
      <c r="D153" s="1">
        <v>0</v>
      </c>
      <c r="E153" s="2">
        <v>2</v>
      </c>
      <c r="F153" s="1">
        <v>22.3</v>
      </c>
      <c r="G153" s="3">
        <v>0.920818198615511</v>
      </c>
      <c r="H153" s="4">
        <v>35.1</v>
      </c>
      <c r="I153" s="1">
        <v>18.5</v>
      </c>
      <c r="J153" s="4">
        <v>74.4827960302862</v>
      </c>
      <c r="K153" s="13">
        <v>6.832590056633</v>
      </c>
      <c r="L153" s="9">
        <v>0.159505804485887</v>
      </c>
    </row>
    <row r="154" spans="1:12">
      <c r="A154" s="1">
        <v>55</v>
      </c>
      <c r="B154" s="1">
        <v>5.6</v>
      </c>
      <c r="C154" s="1">
        <v>4.5</v>
      </c>
      <c r="D154" s="1">
        <v>0</v>
      </c>
      <c r="E154" s="2">
        <v>2</v>
      </c>
      <c r="F154" s="1">
        <v>22.3</v>
      </c>
      <c r="G154" s="3">
        <v>0.89760467536325</v>
      </c>
      <c r="H154" s="4">
        <v>39.6</v>
      </c>
      <c r="I154" s="1">
        <v>23.3</v>
      </c>
      <c r="J154" s="4">
        <v>90.0630867997573</v>
      </c>
      <c r="K154" s="13">
        <v>6.95420200598042</v>
      </c>
      <c r="L154" s="9">
        <v>0.140375167361731</v>
      </c>
    </row>
    <row r="155" spans="1:12">
      <c r="A155" s="1">
        <v>60</v>
      </c>
      <c r="B155" s="1">
        <v>5.6</v>
      </c>
      <c r="C155" s="1">
        <v>4.5</v>
      </c>
      <c r="D155" s="1">
        <v>0</v>
      </c>
      <c r="E155" s="2">
        <v>2</v>
      </c>
      <c r="F155" s="1">
        <v>22.3</v>
      </c>
      <c r="G155" s="3">
        <v>0.868253123396246</v>
      </c>
      <c r="H155" s="4">
        <v>44.5</v>
      </c>
      <c r="I155" s="1">
        <v>28.5</v>
      </c>
      <c r="J155" s="4">
        <v>107.742349542493</v>
      </c>
      <c r="K155" s="13">
        <v>7.3006945782565</v>
      </c>
      <c r="L155" s="9">
        <v>0.123467843013178</v>
      </c>
    </row>
    <row r="156" spans="1:12">
      <c r="A156" s="1">
        <v>65</v>
      </c>
      <c r="B156" s="1">
        <v>5.6</v>
      </c>
      <c r="C156" s="1">
        <v>4.5</v>
      </c>
      <c r="D156" s="1">
        <v>0</v>
      </c>
      <c r="E156" s="2">
        <v>2</v>
      </c>
      <c r="F156" s="1">
        <v>22.3</v>
      </c>
      <c r="G156" s="3">
        <v>0.831152647810126</v>
      </c>
      <c r="H156" s="4">
        <v>49.8</v>
      </c>
      <c r="I156" s="1">
        <v>31.7</v>
      </c>
      <c r="J156" s="4">
        <v>127.323773617133</v>
      </c>
      <c r="K156" s="13">
        <v>7.07064204318922</v>
      </c>
      <c r="L156" s="9">
        <v>0.106937885642437</v>
      </c>
    </row>
    <row r="157" spans="1:12">
      <c r="A157" s="1">
        <v>70</v>
      </c>
      <c r="B157" s="1">
        <v>5.6</v>
      </c>
      <c r="C157" s="1">
        <v>4.5</v>
      </c>
      <c r="D157" s="1">
        <v>0</v>
      </c>
      <c r="E157" s="2">
        <v>2</v>
      </c>
      <c r="F157" s="1">
        <v>22.3</v>
      </c>
      <c r="G157" s="3">
        <v>0.784179277129304</v>
      </c>
      <c r="H157" s="4">
        <v>54.3</v>
      </c>
      <c r="I157" s="1">
        <v>35.9</v>
      </c>
      <c r="J157" s="4">
        <v>156.662084048683</v>
      </c>
      <c r="K157" s="13">
        <v>7.73721747797166</v>
      </c>
      <c r="L157" s="9">
        <v>0.0962525595295641</v>
      </c>
    </row>
    <row r="158" spans="1:12">
      <c r="A158" s="1">
        <v>45</v>
      </c>
      <c r="B158" s="1">
        <v>6.8</v>
      </c>
      <c r="C158" s="1">
        <v>4.5</v>
      </c>
      <c r="D158" s="1">
        <v>0</v>
      </c>
      <c r="E158" s="2">
        <v>2</v>
      </c>
      <c r="F158" s="1">
        <v>22.3</v>
      </c>
      <c r="G158" s="3">
        <v>0.93913980595102</v>
      </c>
      <c r="H158" s="4">
        <v>32.6</v>
      </c>
      <c r="I158" s="1">
        <v>17.5</v>
      </c>
      <c r="J158" s="4">
        <v>66.7637921751493</v>
      </c>
      <c r="K158" s="13">
        <v>8.94746441128801</v>
      </c>
      <c r="L158" s="9">
        <v>0.158870550707707</v>
      </c>
    </row>
    <row r="159" spans="1:12">
      <c r="A159" s="1">
        <v>50</v>
      </c>
      <c r="B159" s="1">
        <v>6.8</v>
      </c>
      <c r="C159" s="1">
        <v>4.5</v>
      </c>
      <c r="D159" s="1">
        <v>0</v>
      </c>
      <c r="E159" s="2">
        <v>2</v>
      </c>
      <c r="F159" s="1">
        <v>22.5</v>
      </c>
      <c r="G159" s="3">
        <v>0.920818198615511</v>
      </c>
      <c r="H159" s="4">
        <v>36.9</v>
      </c>
      <c r="I159" s="1">
        <v>21.3</v>
      </c>
      <c r="J159" s="4">
        <v>81.3097711566598</v>
      </c>
      <c r="K159" s="13">
        <v>8.35585728037204</v>
      </c>
      <c r="L159" s="9">
        <v>0.137199122821031</v>
      </c>
    </row>
    <row r="160" spans="1:12">
      <c r="A160" s="1">
        <v>55</v>
      </c>
      <c r="B160" s="1">
        <v>6.8</v>
      </c>
      <c r="C160" s="1">
        <v>4.5</v>
      </c>
      <c r="D160" s="1">
        <v>0</v>
      </c>
      <c r="E160" s="2">
        <v>2</v>
      </c>
      <c r="F160" s="1">
        <v>22.5</v>
      </c>
      <c r="G160" s="3">
        <v>0.89760467536325</v>
      </c>
      <c r="H160" s="4">
        <v>40.5</v>
      </c>
      <c r="I160" s="1">
        <v>25.5</v>
      </c>
      <c r="J160" s="4">
        <v>102.293084416845</v>
      </c>
      <c r="K160" s="13">
        <v>8.78289918923881</v>
      </c>
      <c r="L160" s="9">
        <v>0.118634432040995</v>
      </c>
    </row>
    <row r="161" spans="1:12">
      <c r="A161" s="1">
        <v>60</v>
      </c>
      <c r="B161" s="1">
        <v>6.8</v>
      </c>
      <c r="C161" s="1">
        <v>4.5</v>
      </c>
      <c r="D161" s="1">
        <v>0</v>
      </c>
      <c r="E161" s="2">
        <v>2</v>
      </c>
      <c r="F161" s="1">
        <v>22.5</v>
      </c>
      <c r="G161" s="3">
        <v>0.868253123396246</v>
      </c>
      <c r="H161" s="4">
        <v>45.9</v>
      </c>
      <c r="I161" s="1">
        <v>28.7</v>
      </c>
      <c r="J161" s="4">
        <v>119.902148275979</v>
      </c>
      <c r="K161" s="13">
        <v>8.0316725106598</v>
      </c>
      <c r="L161" s="9">
        <v>0.101831922535789</v>
      </c>
    </row>
    <row r="162" spans="1:12">
      <c r="A162" s="1">
        <v>65</v>
      </c>
      <c r="B162" s="1">
        <v>6.8</v>
      </c>
      <c r="C162" s="1">
        <v>4.5</v>
      </c>
      <c r="D162" s="1">
        <v>0</v>
      </c>
      <c r="E162" s="2">
        <v>2</v>
      </c>
      <c r="F162" s="1">
        <v>22.5</v>
      </c>
      <c r="G162" s="3">
        <v>0.831152647810126</v>
      </c>
      <c r="H162" s="4">
        <v>50.6</v>
      </c>
      <c r="I162" s="1">
        <v>33.1</v>
      </c>
      <c r="J162" s="4">
        <v>146.055296919188</v>
      </c>
      <c r="K162" s="13">
        <v>8.55290358018111</v>
      </c>
      <c r="L162" s="9">
        <v>0.0900987055402792</v>
      </c>
    </row>
    <row r="163" spans="1:12">
      <c r="A163" s="1">
        <v>70</v>
      </c>
      <c r="B163" s="1">
        <v>6.8</v>
      </c>
      <c r="C163" s="1">
        <v>4.5</v>
      </c>
      <c r="D163" s="1">
        <v>0</v>
      </c>
      <c r="E163" s="2">
        <v>2</v>
      </c>
      <c r="F163" s="1">
        <v>22.5</v>
      </c>
      <c r="G163" s="3">
        <v>0.784179277129304</v>
      </c>
      <c r="H163" s="4">
        <v>56.2</v>
      </c>
      <c r="I163" s="1">
        <v>38.2</v>
      </c>
      <c r="J163" s="4">
        <v>173.941525864547</v>
      </c>
      <c r="K163" s="13">
        <v>9.17814891769443</v>
      </c>
      <c r="L163" s="9">
        <v>0.0845413589329077</v>
      </c>
    </row>
    <row r="164" spans="1:12">
      <c r="A164" s="1">
        <v>45</v>
      </c>
      <c r="B164" s="1">
        <v>8</v>
      </c>
      <c r="C164" s="1">
        <v>4.5</v>
      </c>
      <c r="D164" s="1">
        <v>0</v>
      </c>
      <c r="E164" s="2">
        <v>2</v>
      </c>
      <c r="F164" s="1">
        <v>22.5</v>
      </c>
      <c r="G164" s="3">
        <v>0.93913980595102</v>
      </c>
      <c r="H164" s="4">
        <v>34.5</v>
      </c>
      <c r="I164" s="1">
        <v>20</v>
      </c>
      <c r="J164" s="4">
        <v>69.1744379577931</v>
      </c>
      <c r="K164" s="13">
        <v>11.421907841404</v>
      </c>
      <c r="L164" s="9">
        <v>0.140846183915001</v>
      </c>
    </row>
    <row r="165" spans="1:12">
      <c r="A165" s="1">
        <v>50</v>
      </c>
      <c r="B165" s="1">
        <v>8</v>
      </c>
      <c r="C165" s="1">
        <v>4.5</v>
      </c>
      <c r="D165" s="1">
        <v>0</v>
      </c>
      <c r="E165" s="2">
        <v>2</v>
      </c>
      <c r="F165" s="1">
        <v>22.5</v>
      </c>
      <c r="G165" s="3">
        <v>0.920818198615511</v>
      </c>
      <c r="H165" s="4">
        <v>37.6</v>
      </c>
      <c r="I165" s="1">
        <v>23.7</v>
      </c>
      <c r="J165" s="4">
        <v>90.114013416124</v>
      </c>
      <c r="K165" s="13">
        <v>11.0026313740972</v>
      </c>
      <c r="L165" s="9">
        <v>0.120642619357427</v>
      </c>
    </row>
    <row r="166" spans="1:12">
      <c r="A166" s="1">
        <v>55</v>
      </c>
      <c r="B166" s="1">
        <v>8</v>
      </c>
      <c r="C166" s="1">
        <v>4.5</v>
      </c>
      <c r="D166" s="1">
        <v>0</v>
      </c>
      <c r="E166" s="2">
        <v>2</v>
      </c>
      <c r="F166" s="1">
        <v>22.4</v>
      </c>
      <c r="G166" s="3">
        <v>0.89760467536325</v>
      </c>
      <c r="H166" s="4">
        <v>41.2</v>
      </c>
      <c r="I166" s="1">
        <v>26.6</v>
      </c>
      <c r="J166" s="4">
        <v>113.922246761353</v>
      </c>
      <c r="K166" s="13">
        <v>10.1648673357458</v>
      </c>
      <c r="L166" s="9">
        <v>0.102538110906155</v>
      </c>
    </row>
    <row r="167" spans="1:12">
      <c r="A167" s="1">
        <v>60</v>
      </c>
      <c r="B167" s="1">
        <v>8</v>
      </c>
      <c r="C167" s="1">
        <v>4.5</v>
      </c>
      <c r="D167" s="1">
        <v>0</v>
      </c>
      <c r="E167" s="2">
        <v>2</v>
      </c>
      <c r="F167" s="1">
        <v>22.4</v>
      </c>
      <c r="G167" s="3">
        <v>0.868253123396246</v>
      </c>
      <c r="H167" s="4">
        <v>46</v>
      </c>
      <c r="I167" s="1">
        <v>29.2</v>
      </c>
      <c r="J167" s="4">
        <v>137.141926610856</v>
      </c>
      <c r="K167" s="13">
        <v>9.32037290564244</v>
      </c>
      <c r="L167" s="9">
        <v>0.0872944161267133</v>
      </c>
    </row>
    <row r="168" spans="1:12">
      <c r="A168" s="1">
        <v>65</v>
      </c>
      <c r="B168" s="1">
        <v>8</v>
      </c>
      <c r="C168" s="1">
        <v>4.5</v>
      </c>
      <c r="D168" s="1">
        <v>0</v>
      </c>
      <c r="E168" s="2">
        <v>2</v>
      </c>
      <c r="F168" s="1">
        <v>22.4</v>
      </c>
      <c r="G168" s="3">
        <v>0.831152647810126</v>
      </c>
      <c r="H168" s="4">
        <v>51.6</v>
      </c>
      <c r="I168" s="1">
        <v>33.6</v>
      </c>
      <c r="J168" s="4">
        <v>161.309846402831</v>
      </c>
      <c r="K168" s="13">
        <v>9.39864738354628</v>
      </c>
      <c r="L168" s="9">
        <v>0.0774848338521396</v>
      </c>
    </row>
    <row r="169" spans="1:12">
      <c r="A169" s="1">
        <v>70</v>
      </c>
      <c r="B169" s="1">
        <v>8</v>
      </c>
      <c r="C169" s="1">
        <v>4.5</v>
      </c>
      <c r="D169" s="1">
        <v>0</v>
      </c>
      <c r="E169" s="2">
        <v>2</v>
      </c>
      <c r="F169" s="1">
        <v>22.4</v>
      </c>
      <c r="G169" s="3">
        <v>0.784179277129304</v>
      </c>
      <c r="H169" s="4">
        <v>57</v>
      </c>
      <c r="I169" s="1">
        <v>38.6</v>
      </c>
      <c r="J169" s="4">
        <v>193.838029471461</v>
      </c>
      <c r="K169" s="13">
        <v>10.1964035972378</v>
      </c>
      <c r="L169" s="9">
        <v>0.0727842499565102</v>
      </c>
    </row>
    <row r="170" spans="1:12">
      <c r="A170" s="1">
        <v>45</v>
      </c>
      <c r="B170" s="1">
        <v>4.5</v>
      </c>
      <c r="C170" s="1">
        <v>6.5</v>
      </c>
      <c r="D170" s="1">
        <v>0</v>
      </c>
      <c r="E170" s="2">
        <v>2</v>
      </c>
      <c r="F170" s="1">
        <v>22.1</v>
      </c>
      <c r="G170" s="3">
        <v>0.93913980595102</v>
      </c>
      <c r="H170" s="4">
        <v>27.6</v>
      </c>
      <c r="I170" s="1">
        <v>13.5</v>
      </c>
      <c r="J170" s="4">
        <v>64.6079760316695</v>
      </c>
      <c r="K170" s="13">
        <v>8.87881897828108</v>
      </c>
      <c r="L170" s="9">
        <v>0.316518619878327</v>
      </c>
    </row>
    <row r="171" spans="1:12">
      <c r="A171" s="1">
        <v>50</v>
      </c>
      <c r="B171" s="1">
        <v>4.5</v>
      </c>
      <c r="C171" s="1">
        <v>6.5</v>
      </c>
      <c r="D171" s="1">
        <v>0</v>
      </c>
      <c r="E171" s="2">
        <v>2</v>
      </c>
      <c r="F171" s="1">
        <v>22.1</v>
      </c>
      <c r="G171" s="3">
        <v>0.920818198615511</v>
      </c>
      <c r="H171" s="4">
        <v>32</v>
      </c>
      <c r="I171" s="1">
        <v>17.5</v>
      </c>
      <c r="J171" s="4">
        <v>76.9105046137101</v>
      </c>
      <c r="K171" s="13">
        <v>7.57892248391701</v>
      </c>
      <c r="L171" s="9">
        <v>0.28115064925168</v>
      </c>
    </row>
    <row r="172" spans="1:12">
      <c r="A172" s="1">
        <v>55</v>
      </c>
      <c r="B172" s="1">
        <v>4.5</v>
      </c>
      <c r="C172" s="1">
        <v>6.5</v>
      </c>
      <c r="D172" s="1">
        <v>0</v>
      </c>
      <c r="E172" s="2">
        <v>2</v>
      </c>
      <c r="F172" s="1">
        <v>22.1</v>
      </c>
      <c r="G172" s="3">
        <v>0.89760467536325</v>
      </c>
      <c r="H172" s="4">
        <v>36.9</v>
      </c>
      <c r="I172" s="1">
        <v>22.9</v>
      </c>
      <c r="J172" s="4">
        <v>90.7667109473221</v>
      </c>
      <c r="K172" s="13">
        <v>7.41341059590646</v>
      </c>
      <c r="L172" s="9">
        <v>0.250850402157053</v>
      </c>
    </row>
    <row r="173" spans="1:12">
      <c r="A173" s="1">
        <v>60</v>
      </c>
      <c r="B173" s="1">
        <v>4.5</v>
      </c>
      <c r="C173" s="1">
        <v>6.5</v>
      </c>
      <c r="D173" s="1">
        <v>0</v>
      </c>
      <c r="E173" s="2">
        <v>2</v>
      </c>
      <c r="F173" s="1">
        <v>22.1</v>
      </c>
      <c r="G173" s="3">
        <v>0.868253123396246</v>
      </c>
      <c r="H173" s="4">
        <v>40</v>
      </c>
      <c r="I173" s="1">
        <v>26.9</v>
      </c>
      <c r="J173" s="4">
        <v>111.264409363747</v>
      </c>
      <c r="K173" s="13">
        <v>7.85148495695271</v>
      </c>
      <c r="L173" s="9">
        <v>0.216718861169602</v>
      </c>
    </row>
    <row r="174" spans="1:12">
      <c r="A174" s="1">
        <v>65</v>
      </c>
      <c r="B174" s="1">
        <v>4.5</v>
      </c>
      <c r="C174" s="1">
        <v>6.5</v>
      </c>
      <c r="D174" s="1">
        <v>0</v>
      </c>
      <c r="E174" s="2">
        <v>2</v>
      </c>
      <c r="F174" s="1">
        <v>22.1</v>
      </c>
      <c r="G174" s="3">
        <v>0.831152647810126</v>
      </c>
      <c r="H174" s="4">
        <v>44.2</v>
      </c>
      <c r="I174" s="1">
        <v>29.5</v>
      </c>
      <c r="J174" s="4">
        <v>132.975355986879</v>
      </c>
      <c r="K174" s="13">
        <v>7.64719723497</v>
      </c>
      <c r="L174" s="9">
        <v>0.185131749990209</v>
      </c>
    </row>
    <row r="175" spans="1:12">
      <c r="A175" s="1">
        <v>70</v>
      </c>
      <c r="B175" s="1">
        <v>4.5</v>
      </c>
      <c r="C175" s="1">
        <v>6.5</v>
      </c>
      <c r="D175" s="1">
        <v>0</v>
      </c>
      <c r="E175" s="2">
        <v>2</v>
      </c>
      <c r="F175" s="1">
        <v>22.1</v>
      </c>
      <c r="G175" s="3">
        <v>0.784179277129304</v>
      </c>
      <c r="H175" s="4">
        <v>51.6</v>
      </c>
      <c r="I175" s="1">
        <v>31.1</v>
      </c>
      <c r="J175" s="4">
        <v>148.427670978151</v>
      </c>
      <c r="K175" s="13">
        <v>6.58003680416499</v>
      </c>
      <c r="L175" s="9">
        <v>0.157901549148289</v>
      </c>
    </row>
    <row r="176" spans="1:12">
      <c r="A176" s="1">
        <v>45</v>
      </c>
      <c r="B176" s="1">
        <v>5.6</v>
      </c>
      <c r="C176" s="1">
        <v>6.5</v>
      </c>
      <c r="D176" s="1">
        <v>0</v>
      </c>
      <c r="E176" s="2">
        <v>2</v>
      </c>
      <c r="F176" s="1">
        <v>22.1</v>
      </c>
      <c r="G176" s="3">
        <v>0.93913980595102</v>
      </c>
      <c r="H176" s="4">
        <v>28.8</v>
      </c>
      <c r="I176" s="1">
        <v>17.7</v>
      </c>
      <c r="J176" s="4">
        <v>74.4996094013496</v>
      </c>
      <c r="K176" s="13">
        <v>12.5878960756747</v>
      </c>
      <c r="L176" s="9">
        <v>0.278884980971979</v>
      </c>
    </row>
    <row r="177" spans="1:12">
      <c r="A177" s="1">
        <v>50</v>
      </c>
      <c r="B177" s="1">
        <v>5.6</v>
      </c>
      <c r="C177" s="1">
        <v>6.5</v>
      </c>
      <c r="D177" s="1">
        <v>0</v>
      </c>
      <c r="E177" s="2">
        <v>2</v>
      </c>
      <c r="F177" s="1">
        <v>22.1</v>
      </c>
      <c r="G177" s="3">
        <v>0.920818198615511</v>
      </c>
      <c r="H177" s="4">
        <v>32.8</v>
      </c>
      <c r="I177" s="1">
        <v>21.5</v>
      </c>
      <c r="J177" s="4">
        <v>89.4174775677747</v>
      </c>
      <c r="K177" s="13">
        <v>10.6873796907528</v>
      </c>
      <c r="L177" s="9">
        <v>0.241525499744012</v>
      </c>
    </row>
    <row r="178" spans="1:12">
      <c r="A178" s="1">
        <v>55</v>
      </c>
      <c r="B178" s="1">
        <v>5.6</v>
      </c>
      <c r="C178" s="1">
        <v>6.5</v>
      </c>
      <c r="D178" s="1">
        <v>0</v>
      </c>
      <c r="E178" s="2">
        <v>2</v>
      </c>
      <c r="F178" s="1">
        <v>22.1</v>
      </c>
      <c r="G178" s="3">
        <v>0.89760467536325</v>
      </c>
      <c r="H178" s="4">
        <v>37.6</v>
      </c>
      <c r="I178" s="1">
        <v>24.4</v>
      </c>
      <c r="J178" s="4">
        <v>104.912228077396</v>
      </c>
      <c r="K178" s="13">
        <v>9.00407489546537</v>
      </c>
      <c r="L178" s="9">
        <v>0.205791664435466</v>
      </c>
    </row>
    <row r="179" spans="1:12">
      <c r="A179" s="1">
        <v>60</v>
      </c>
      <c r="B179" s="1">
        <v>5.6</v>
      </c>
      <c r="C179" s="1">
        <v>6.5</v>
      </c>
      <c r="D179" s="1">
        <v>0</v>
      </c>
      <c r="E179" s="2">
        <v>2</v>
      </c>
      <c r="F179" s="1">
        <v>22.1</v>
      </c>
      <c r="G179" s="3">
        <v>0.868253123396246</v>
      </c>
      <c r="H179" s="4">
        <v>41.5</v>
      </c>
      <c r="I179" s="1">
        <v>28.5</v>
      </c>
      <c r="J179" s="4">
        <v>127.316452039458</v>
      </c>
      <c r="K179" s="13">
        <v>9.22488384110549</v>
      </c>
      <c r="L179" s="9">
        <v>0.178108438005402</v>
      </c>
    </row>
    <row r="180" spans="1:12">
      <c r="A180" s="1">
        <v>65</v>
      </c>
      <c r="B180" s="1">
        <v>5.6</v>
      </c>
      <c r="C180" s="1">
        <v>6.5</v>
      </c>
      <c r="D180" s="1">
        <v>0</v>
      </c>
      <c r="E180" s="2">
        <v>2</v>
      </c>
      <c r="F180" s="1">
        <v>22.1</v>
      </c>
      <c r="G180" s="3">
        <v>0.831152647810126</v>
      </c>
      <c r="H180" s="4">
        <v>46.2</v>
      </c>
      <c r="I180" s="1">
        <v>32.2</v>
      </c>
      <c r="J180" s="4">
        <v>152.093584524212</v>
      </c>
      <c r="K180" s="13">
        <v>9.21605512690989</v>
      </c>
      <c r="L180" s="9">
        <v>0.155229573110996</v>
      </c>
    </row>
    <row r="181" spans="1:12">
      <c r="A181" s="1">
        <v>70</v>
      </c>
      <c r="B181" s="1">
        <v>5.6</v>
      </c>
      <c r="C181" s="1">
        <v>6.5</v>
      </c>
      <c r="D181" s="1">
        <v>0</v>
      </c>
      <c r="E181" s="2">
        <v>2</v>
      </c>
      <c r="F181" s="1">
        <v>22</v>
      </c>
      <c r="G181" s="3">
        <v>0.784179277129304</v>
      </c>
      <c r="H181" s="4">
        <v>51.9</v>
      </c>
      <c r="I181" s="1">
        <v>36.2</v>
      </c>
      <c r="J181" s="4">
        <v>178.982109171785</v>
      </c>
      <c r="K181" s="13">
        <v>9.19393467955481</v>
      </c>
      <c r="L181" s="9">
        <v>0.139609751954205</v>
      </c>
    </row>
    <row r="182" spans="1:12">
      <c r="A182" s="1">
        <v>45</v>
      </c>
      <c r="B182" s="1">
        <v>6.8</v>
      </c>
      <c r="C182" s="1">
        <v>6.5</v>
      </c>
      <c r="D182" s="1">
        <v>0</v>
      </c>
      <c r="E182" s="2">
        <v>2</v>
      </c>
      <c r="F182" s="1">
        <v>22</v>
      </c>
      <c r="G182" s="3">
        <v>0.93913980595102</v>
      </c>
      <c r="H182" s="4">
        <v>31.2</v>
      </c>
      <c r="I182" s="1">
        <v>18.1</v>
      </c>
      <c r="J182" s="4">
        <v>78.8391743057429</v>
      </c>
      <c r="K182" s="13">
        <v>11.5502741744917</v>
      </c>
      <c r="L182" s="9">
        <v>0.232617166996061</v>
      </c>
    </row>
    <row r="183" spans="1:12">
      <c r="A183" s="1">
        <v>50</v>
      </c>
      <c r="B183" s="1">
        <v>6.8</v>
      </c>
      <c r="C183" s="1">
        <v>6.5</v>
      </c>
      <c r="D183" s="1">
        <v>0</v>
      </c>
      <c r="E183" s="2">
        <v>2</v>
      </c>
      <c r="F183" s="1">
        <v>22</v>
      </c>
      <c r="G183" s="3">
        <v>0.920818198615511</v>
      </c>
      <c r="H183" s="4">
        <v>37.5</v>
      </c>
      <c r="I183" s="1">
        <v>21.8</v>
      </c>
      <c r="J183" s="4">
        <v>87.6014760323692</v>
      </c>
      <c r="K183" s="13">
        <v>8.63101296633933</v>
      </c>
      <c r="L183" s="9">
        <v>0.201612624523167</v>
      </c>
    </row>
    <row r="184" spans="1:12">
      <c r="A184" s="1">
        <v>55</v>
      </c>
      <c r="B184" s="1">
        <v>6.8</v>
      </c>
      <c r="C184" s="1">
        <v>6.5</v>
      </c>
      <c r="D184" s="1">
        <v>0</v>
      </c>
      <c r="E184" s="2">
        <v>2</v>
      </c>
      <c r="F184" s="1">
        <v>22</v>
      </c>
      <c r="G184" s="3">
        <v>0.89760467536325</v>
      </c>
      <c r="H184" s="4">
        <v>40.6</v>
      </c>
      <c r="I184" s="1">
        <v>26.2</v>
      </c>
      <c r="J184" s="4">
        <v>110.864160117314</v>
      </c>
      <c r="K184" s="13">
        <v>9.45388458679472</v>
      </c>
      <c r="L184" s="9">
        <v>0.174464215832177</v>
      </c>
    </row>
    <row r="185" spans="1:12">
      <c r="A185" s="1">
        <v>60</v>
      </c>
      <c r="B185" s="1">
        <v>6.8</v>
      </c>
      <c r="C185" s="1">
        <v>6.5</v>
      </c>
      <c r="D185" s="1">
        <v>0</v>
      </c>
      <c r="E185" s="2">
        <v>2</v>
      </c>
      <c r="F185" s="1">
        <v>22</v>
      </c>
      <c r="G185" s="3">
        <v>0.868253123396246</v>
      </c>
      <c r="H185" s="4">
        <v>43.8</v>
      </c>
      <c r="I185" s="1">
        <v>29.4</v>
      </c>
      <c r="J185" s="4">
        <v>139.060955387193</v>
      </c>
      <c r="K185" s="13">
        <v>9.79903311103801</v>
      </c>
      <c r="L185" s="9">
        <v>0.149177380717029</v>
      </c>
    </row>
    <row r="186" spans="1:12">
      <c r="A186" s="1">
        <v>65</v>
      </c>
      <c r="B186" s="1">
        <v>6.8</v>
      </c>
      <c r="C186" s="1">
        <v>6.5</v>
      </c>
      <c r="D186" s="1">
        <v>0</v>
      </c>
      <c r="E186" s="2">
        <v>2</v>
      </c>
      <c r="F186" s="1">
        <v>22</v>
      </c>
      <c r="G186" s="3">
        <v>0.831152647810126</v>
      </c>
      <c r="H186" s="4">
        <v>47.9</v>
      </c>
      <c r="I186" s="1">
        <v>33.6</v>
      </c>
      <c r="J186" s="4">
        <v>170.607249120215</v>
      </c>
      <c r="K186" s="13">
        <v>10.4797651330462</v>
      </c>
      <c r="L186" s="9">
        <v>0.131396630829721</v>
      </c>
    </row>
    <row r="187" spans="1:12">
      <c r="A187" s="1">
        <v>70</v>
      </c>
      <c r="B187" s="1">
        <v>6.8</v>
      </c>
      <c r="C187" s="1">
        <v>6.5</v>
      </c>
      <c r="D187" s="1">
        <v>0</v>
      </c>
      <c r="E187" s="2">
        <v>2</v>
      </c>
      <c r="F187" s="1">
        <v>22</v>
      </c>
      <c r="G187" s="3">
        <v>0.784179277129304</v>
      </c>
      <c r="H187" s="4">
        <v>52</v>
      </c>
      <c r="I187" s="1">
        <v>37.5</v>
      </c>
      <c r="J187" s="4">
        <v>210.798437666487</v>
      </c>
      <c r="K187" s="13">
        <v>11.3487622395915</v>
      </c>
      <c r="L187" s="9">
        <v>0.118759057696679</v>
      </c>
    </row>
    <row r="188" spans="1:12">
      <c r="A188" s="1">
        <v>45</v>
      </c>
      <c r="B188" s="1">
        <v>8</v>
      </c>
      <c r="C188" s="1">
        <v>6.5</v>
      </c>
      <c r="D188" s="1">
        <v>0</v>
      </c>
      <c r="E188" s="2">
        <v>2</v>
      </c>
      <c r="F188" s="1">
        <v>22</v>
      </c>
      <c r="G188" s="3">
        <v>0.93913980595102</v>
      </c>
      <c r="H188" s="4">
        <v>36</v>
      </c>
      <c r="I188" s="1">
        <v>20.1</v>
      </c>
      <c r="J188" s="4">
        <v>71.328449141763</v>
      </c>
      <c r="K188" s="13">
        <v>10.116729807514</v>
      </c>
      <c r="L188" s="9">
        <v>0.206057230493639</v>
      </c>
    </row>
    <row r="189" spans="1:12">
      <c r="A189" s="1">
        <v>50</v>
      </c>
      <c r="B189" s="1">
        <v>8</v>
      </c>
      <c r="C189" s="1">
        <v>6.5</v>
      </c>
      <c r="D189" s="1">
        <v>0</v>
      </c>
      <c r="E189" s="2">
        <v>2</v>
      </c>
      <c r="F189" s="1">
        <v>22</v>
      </c>
      <c r="G189" s="3">
        <v>0.920818198615511</v>
      </c>
      <c r="H189" s="4">
        <v>39.5</v>
      </c>
      <c r="I189" s="1">
        <v>23.5</v>
      </c>
      <c r="J189" s="4">
        <v>90.0698474796279</v>
      </c>
      <c r="K189" s="13">
        <v>9.40969039047531</v>
      </c>
      <c r="L189" s="9">
        <v>0.175944274199543</v>
      </c>
    </row>
    <row r="190" spans="1:12">
      <c r="A190" s="1">
        <v>55</v>
      </c>
      <c r="B190" s="1">
        <v>8</v>
      </c>
      <c r="C190" s="1">
        <v>6.5</v>
      </c>
      <c r="D190" s="1">
        <v>0</v>
      </c>
      <c r="E190" s="2">
        <v>2</v>
      </c>
      <c r="F190" s="1">
        <v>22</v>
      </c>
      <c r="G190" s="3">
        <v>0.89760467536325</v>
      </c>
      <c r="H190" s="4">
        <v>42</v>
      </c>
      <c r="I190" s="1">
        <v>27.2</v>
      </c>
      <c r="J190" s="4">
        <v>118.97903996927</v>
      </c>
      <c r="K190" s="13">
        <v>10.3719086253275</v>
      </c>
      <c r="L190" s="9">
        <v>0.150467938123088</v>
      </c>
    </row>
    <row r="191" spans="1:12">
      <c r="A191" s="1">
        <v>60</v>
      </c>
      <c r="B191" s="1">
        <v>8</v>
      </c>
      <c r="C191" s="1">
        <v>6.5</v>
      </c>
      <c r="D191" s="1">
        <v>0</v>
      </c>
      <c r="E191" s="2">
        <v>2</v>
      </c>
      <c r="F191" s="1">
        <v>22</v>
      </c>
      <c r="G191" s="3">
        <v>0.868253123396246</v>
      </c>
      <c r="H191" s="4">
        <v>46.7</v>
      </c>
      <c r="I191" s="1">
        <v>30</v>
      </c>
      <c r="J191" s="4">
        <v>142.420153638606</v>
      </c>
      <c r="K191" s="13">
        <v>9.61431298195106</v>
      </c>
      <c r="L191" s="9">
        <v>0.128398706866207</v>
      </c>
    </row>
    <row r="192" spans="1:12">
      <c r="A192" s="1">
        <v>65</v>
      </c>
      <c r="B192" s="1">
        <v>8</v>
      </c>
      <c r="C192" s="1">
        <v>6.5</v>
      </c>
      <c r="D192" s="1">
        <v>0</v>
      </c>
      <c r="E192" s="2">
        <v>2</v>
      </c>
      <c r="F192" s="1">
        <v>22</v>
      </c>
      <c r="G192" s="3">
        <v>0.831152647810126</v>
      </c>
      <c r="H192" s="4">
        <v>51.6</v>
      </c>
      <c r="I192" s="1">
        <v>33.9</v>
      </c>
      <c r="J192" s="4">
        <v>171.13824096153</v>
      </c>
      <c r="K192" s="13">
        <v>9.8467095747289</v>
      </c>
      <c r="L192" s="9">
        <v>0.112931359745423</v>
      </c>
    </row>
    <row r="193" spans="1:12">
      <c r="A193" s="1">
        <v>70</v>
      </c>
      <c r="B193" s="1">
        <v>8</v>
      </c>
      <c r="C193" s="1">
        <v>6.5</v>
      </c>
      <c r="D193" s="1">
        <v>0</v>
      </c>
      <c r="E193" s="2">
        <v>2</v>
      </c>
      <c r="F193" s="1">
        <v>22</v>
      </c>
      <c r="G193" s="3">
        <v>0.784179277129304</v>
      </c>
      <c r="H193" s="4">
        <v>56.6</v>
      </c>
      <c r="I193" s="1">
        <v>38.2</v>
      </c>
      <c r="J193" s="4">
        <v>207.597464858838</v>
      </c>
      <c r="K193" s="13">
        <v>10.5596065775066</v>
      </c>
      <c r="L193" s="9">
        <v>0.103607890738825</v>
      </c>
    </row>
    <row r="194" spans="1:12">
      <c r="A194" s="1">
        <v>45</v>
      </c>
      <c r="B194" s="1">
        <v>4.5</v>
      </c>
      <c r="C194" s="1">
        <v>8</v>
      </c>
      <c r="D194" s="1">
        <v>0</v>
      </c>
      <c r="E194" s="2">
        <v>2</v>
      </c>
      <c r="F194" s="1">
        <v>21.7</v>
      </c>
      <c r="G194" s="3">
        <v>0.93913980595102</v>
      </c>
      <c r="H194" s="4">
        <v>27</v>
      </c>
      <c r="I194" s="1">
        <v>13.9</v>
      </c>
      <c r="J194" s="4">
        <v>71.2199146135847</v>
      </c>
      <c r="K194" s="13">
        <v>9.95346716668942</v>
      </c>
      <c r="L194" s="9">
        <v>0.395063351517444</v>
      </c>
    </row>
    <row r="195" spans="1:12">
      <c r="A195" s="1">
        <v>50</v>
      </c>
      <c r="B195" s="1">
        <v>4.5</v>
      </c>
      <c r="C195" s="1">
        <v>8</v>
      </c>
      <c r="D195" s="1">
        <v>0</v>
      </c>
      <c r="E195" s="2">
        <v>2</v>
      </c>
      <c r="F195" s="1">
        <v>21.7</v>
      </c>
      <c r="G195" s="3">
        <v>0.920818198615511</v>
      </c>
      <c r="H195" s="4">
        <v>31.2</v>
      </c>
      <c r="I195" s="1">
        <v>17.3</v>
      </c>
      <c r="J195" s="4">
        <v>84.1805944929144</v>
      </c>
      <c r="K195" s="13">
        <v>8.22744507479914</v>
      </c>
      <c r="L195" s="9">
        <v>0.346437502862847</v>
      </c>
    </row>
    <row r="196" spans="1:12">
      <c r="A196" s="1">
        <v>55</v>
      </c>
      <c r="B196" s="1">
        <v>4.5</v>
      </c>
      <c r="C196" s="1">
        <v>8</v>
      </c>
      <c r="D196" s="1">
        <v>0</v>
      </c>
      <c r="E196" s="2">
        <v>2</v>
      </c>
      <c r="F196" s="1">
        <v>21.7</v>
      </c>
      <c r="G196" s="3">
        <v>0.89760467536325</v>
      </c>
      <c r="H196" s="4">
        <v>35.2</v>
      </c>
      <c r="I196" s="1">
        <v>22.1</v>
      </c>
      <c r="J196" s="4">
        <v>100.568600804509</v>
      </c>
      <c r="K196" s="13">
        <v>8.16686593278179</v>
      </c>
      <c r="L196" s="9">
        <v>0.306740807200374</v>
      </c>
    </row>
    <row r="197" spans="1:12">
      <c r="A197" s="1">
        <v>60</v>
      </c>
      <c r="B197" s="1">
        <v>4.5</v>
      </c>
      <c r="C197" s="1">
        <v>8</v>
      </c>
      <c r="D197" s="1">
        <v>0</v>
      </c>
      <c r="E197" s="2">
        <v>2</v>
      </c>
      <c r="F197" s="1">
        <v>21.7</v>
      </c>
      <c r="G197" s="3">
        <v>0.868253123396246</v>
      </c>
      <c r="H197" s="4">
        <v>38.8</v>
      </c>
      <c r="I197" s="1">
        <v>25.1</v>
      </c>
      <c r="J197" s="4">
        <v>120.181713726022</v>
      </c>
      <c r="K197" s="13">
        <v>7.97703455948149</v>
      </c>
      <c r="L197" s="9">
        <v>0.262230935207834</v>
      </c>
    </row>
    <row r="198" spans="1:12">
      <c r="A198" s="1">
        <v>65</v>
      </c>
      <c r="B198" s="1">
        <v>4.5</v>
      </c>
      <c r="C198" s="1">
        <v>8</v>
      </c>
      <c r="D198" s="1">
        <v>0</v>
      </c>
      <c r="E198" s="2">
        <v>2</v>
      </c>
      <c r="F198" s="1">
        <v>21.7</v>
      </c>
      <c r="G198" s="3">
        <v>0.831152647810126</v>
      </c>
      <c r="H198" s="4">
        <v>42.6</v>
      </c>
      <c r="I198" s="1">
        <v>28.9</v>
      </c>
      <c r="J198" s="4">
        <v>144.067844099783</v>
      </c>
      <c r="K198" s="13">
        <v>8.2566600757929</v>
      </c>
      <c r="L198" s="9">
        <v>0.226964623066038</v>
      </c>
    </row>
    <row r="199" spans="1:12">
      <c r="A199" s="1">
        <v>70</v>
      </c>
      <c r="B199" s="1">
        <v>4.5</v>
      </c>
      <c r="C199" s="1">
        <v>8</v>
      </c>
      <c r="D199" s="1">
        <v>0</v>
      </c>
      <c r="E199" s="2">
        <v>2</v>
      </c>
      <c r="F199" s="1">
        <v>21.7</v>
      </c>
      <c r="G199" s="3">
        <v>0.784179277129304</v>
      </c>
      <c r="H199" s="4">
        <v>47.6</v>
      </c>
      <c r="I199" s="1">
        <v>31.3</v>
      </c>
      <c r="J199" s="4">
        <v>169.273913382212</v>
      </c>
      <c r="K199" s="13">
        <v>8.00779013642997</v>
      </c>
      <c r="L199" s="9">
        <v>0.194791545758651</v>
      </c>
    </row>
    <row r="200" spans="1:12">
      <c r="A200" s="1">
        <v>45</v>
      </c>
      <c r="B200" s="1">
        <v>5.6</v>
      </c>
      <c r="C200" s="1">
        <v>8</v>
      </c>
      <c r="D200" s="1">
        <v>0</v>
      </c>
      <c r="E200" s="2">
        <v>2</v>
      </c>
      <c r="F200" s="1">
        <v>21.7</v>
      </c>
      <c r="G200" s="3">
        <v>0.93913980595102</v>
      </c>
      <c r="H200" s="4">
        <v>28.3</v>
      </c>
      <c r="I200" s="1">
        <v>17.8</v>
      </c>
      <c r="J200" s="4">
        <v>81.5198960702168</v>
      </c>
      <c r="K200" s="13">
        <v>13.5116676010939</v>
      </c>
      <c r="L200" s="9">
        <v>0.345780094408036</v>
      </c>
    </row>
    <row r="201" spans="1:12">
      <c r="A201" s="1">
        <v>50</v>
      </c>
      <c r="B201" s="1">
        <v>5.6</v>
      </c>
      <c r="C201" s="1">
        <v>8</v>
      </c>
      <c r="D201" s="1">
        <v>0</v>
      </c>
      <c r="E201" s="2">
        <v>2</v>
      </c>
      <c r="F201" s="1">
        <v>21.7</v>
      </c>
      <c r="G201" s="3">
        <v>0.920818198615511</v>
      </c>
      <c r="H201" s="4">
        <v>32.6</v>
      </c>
      <c r="I201" s="1">
        <v>23</v>
      </c>
      <c r="J201" s="4">
        <v>96.9038228920932</v>
      </c>
      <c r="K201" s="13">
        <v>12.4773356935652</v>
      </c>
      <c r="L201" s="9">
        <v>0.305616690519643</v>
      </c>
    </row>
    <row r="202" spans="1:12">
      <c r="A202" s="1">
        <v>55</v>
      </c>
      <c r="B202" s="1">
        <v>5.6</v>
      </c>
      <c r="C202" s="1">
        <v>8</v>
      </c>
      <c r="D202" s="1">
        <v>0</v>
      </c>
      <c r="E202" s="2">
        <v>2</v>
      </c>
      <c r="F202" s="1">
        <v>21.7</v>
      </c>
      <c r="G202" s="3">
        <v>0.89760467536325</v>
      </c>
      <c r="H202" s="4">
        <v>38.4</v>
      </c>
      <c r="I202" s="1">
        <v>26.5</v>
      </c>
      <c r="J202" s="4">
        <v>109.998818766235</v>
      </c>
      <c r="K202" s="13">
        <v>9.98307176508529</v>
      </c>
      <c r="L202" s="9">
        <v>0.262194788529346</v>
      </c>
    </row>
    <row r="203" spans="1:12">
      <c r="A203" s="1">
        <v>60</v>
      </c>
      <c r="B203" s="1">
        <v>5.6</v>
      </c>
      <c r="C203" s="1">
        <v>8</v>
      </c>
      <c r="D203" s="1">
        <v>0</v>
      </c>
      <c r="E203" s="2">
        <v>2</v>
      </c>
      <c r="F203" s="1">
        <v>21.7</v>
      </c>
      <c r="G203" s="3">
        <v>0.868253123396246</v>
      </c>
      <c r="H203" s="4">
        <v>41</v>
      </c>
      <c r="I203" s="1">
        <v>29.3</v>
      </c>
      <c r="J203" s="4">
        <v>136.207806429246</v>
      </c>
      <c r="K203" s="13">
        <v>10.0883768934616</v>
      </c>
      <c r="L203" s="9">
        <v>0.222747432137795</v>
      </c>
    </row>
    <row r="204" spans="1:12">
      <c r="A204" s="1">
        <v>65</v>
      </c>
      <c r="B204" s="1">
        <v>5.6</v>
      </c>
      <c r="C204" s="1">
        <v>8</v>
      </c>
      <c r="D204" s="1">
        <v>0</v>
      </c>
      <c r="E204" s="2">
        <v>2</v>
      </c>
      <c r="F204" s="1">
        <v>21.7</v>
      </c>
      <c r="G204" s="3">
        <v>0.831152647810126</v>
      </c>
      <c r="H204" s="4">
        <v>45.2</v>
      </c>
      <c r="I204" s="1">
        <v>32.9</v>
      </c>
      <c r="J204" s="4">
        <v>163.497366293134</v>
      </c>
      <c r="K204" s="13">
        <v>10.1742116465115</v>
      </c>
      <c r="L204" s="9">
        <v>0.193813748314915</v>
      </c>
    </row>
    <row r="205" spans="1:12">
      <c r="A205" s="1">
        <v>70</v>
      </c>
      <c r="B205" s="1">
        <v>5.6</v>
      </c>
      <c r="C205" s="1">
        <v>8</v>
      </c>
      <c r="D205" s="1">
        <v>0</v>
      </c>
      <c r="E205" s="2">
        <v>2</v>
      </c>
      <c r="F205" s="1">
        <v>21.7</v>
      </c>
      <c r="G205" s="3">
        <v>0.784179277129304</v>
      </c>
      <c r="H205" s="4">
        <v>48.6</v>
      </c>
      <c r="I205" s="1">
        <v>37.2</v>
      </c>
      <c r="J205" s="4">
        <v>201.994602371371</v>
      </c>
      <c r="K205" s="13">
        <v>11.3165708946336</v>
      </c>
      <c r="L205" s="9">
        <v>0.175194826045812</v>
      </c>
    </row>
    <row r="206" spans="1:12">
      <c r="A206" s="1">
        <v>45</v>
      </c>
      <c r="B206" s="1">
        <v>6.8</v>
      </c>
      <c r="C206" s="1">
        <v>8</v>
      </c>
      <c r="D206" s="1">
        <v>0</v>
      </c>
      <c r="E206" s="2">
        <v>2</v>
      </c>
      <c r="F206" s="1">
        <v>21.7</v>
      </c>
      <c r="G206" s="3">
        <v>0.93913980595102</v>
      </c>
      <c r="H206" s="4">
        <v>30.3</v>
      </c>
      <c r="I206" s="1">
        <v>18.5</v>
      </c>
      <c r="J206" s="4">
        <v>87.4982871011134</v>
      </c>
      <c r="K206" s="13">
        <v>13.4274476571365</v>
      </c>
      <c r="L206" s="9">
        <v>0.289319182336839</v>
      </c>
    </row>
    <row r="207" spans="1:12">
      <c r="A207" s="1">
        <v>50</v>
      </c>
      <c r="B207" s="1">
        <v>6.8</v>
      </c>
      <c r="C207" s="1">
        <v>8</v>
      </c>
      <c r="D207" s="1">
        <v>0</v>
      </c>
      <c r="E207" s="2">
        <v>2</v>
      </c>
      <c r="F207" s="1">
        <v>21.7</v>
      </c>
      <c r="G207" s="3">
        <v>0.920818198615511</v>
      </c>
      <c r="H207" s="4">
        <v>34.6</v>
      </c>
      <c r="I207" s="1">
        <v>22.5</v>
      </c>
      <c r="J207" s="4">
        <v>104.130052791349</v>
      </c>
      <c r="K207" s="13">
        <v>11.7237150954607</v>
      </c>
      <c r="L207" s="9">
        <v>0.250771213440702</v>
      </c>
    </row>
    <row r="208" spans="1:12">
      <c r="A208" s="1">
        <v>55</v>
      </c>
      <c r="B208" s="1">
        <v>6.8</v>
      </c>
      <c r="C208" s="1">
        <v>8</v>
      </c>
      <c r="D208" s="1">
        <v>0</v>
      </c>
      <c r="E208" s="2">
        <v>2</v>
      </c>
      <c r="F208" s="1">
        <v>21.7</v>
      </c>
      <c r="G208" s="3">
        <v>0.89760467536325</v>
      </c>
      <c r="H208" s="4">
        <v>39.6</v>
      </c>
      <c r="I208" s="1">
        <v>27.1</v>
      </c>
      <c r="J208" s="4">
        <v>121.850114132375</v>
      </c>
      <c r="K208" s="13">
        <v>11.0420304814499</v>
      </c>
      <c r="L208" s="9">
        <v>0.217924945936237</v>
      </c>
    </row>
    <row r="209" spans="1:12">
      <c r="A209" s="1">
        <v>60</v>
      </c>
      <c r="B209" s="1">
        <v>6.8</v>
      </c>
      <c r="C209" s="1">
        <v>8</v>
      </c>
      <c r="D209" s="1">
        <v>0</v>
      </c>
      <c r="E209" s="2">
        <v>2</v>
      </c>
      <c r="F209" s="1">
        <v>21.7</v>
      </c>
      <c r="G209" s="3">
        <v>0.868253123396246</v>
      </c>
      <c r="H209" s="4">
        <v>42.8</v>
      </c>
      <c r="I209" s="1">
        <v>29.9</v>
      </c>
      <c r="J209" s="4">
        <v>150.569592607903</v>
      </c>
      <c r="K209" s="13">
        <v>10.9197494906057</v>
      </c>
      <c r="L209" s="9">
        <v>0.185397950853292</v>
      </c>
    </row>
    <row r="210" spans="1:12">
      <c r="A210" s="1">
        <v>65</v>
      </c>
      <c r="B210" s="1">
        <v>6.8</v>
      </c>
      <c r="C210" s="1">
        <v>8</v>
      </c>
      <c r="D210" s="1">
        <v>0</v>
      </c>
      <c r="E210" s="2">
        <v>2</v>
      </c>
      <c r="F210" s="1">
        <v>21.7</v>
      </c>
      <c r="G210" s="3">
        <v>0.831152647810126</v>
      </c>
      <c r="H210" s="4">
        <v>46.5</v>
      </c>
      <c r="I210" s="1">
        <v>33.3</v>
      </c>
      <c r="J210" s="4">
        <v>184.613608717611</v>
      </c>
      <c r="K210" s="13">
        <v>11.3295196245214</v>
      </c>
      <c r="L210" s="9">
        <v>0.160994711512235</v>
      </c>
    </row>
    <row r="211" spans="1:12">
      <c r="A211" s="1">
        <v>70</v>
      </c>
      <c r="B211" s="1">
        <v>6.8</v>
      </c>
      <c r="C211" s="1">
        <v>8</v>
      </c>
      <c r="D211" s="1">
        <v>0</v>
      </c>
      <c r="E211" s="2">
        <v>2</v>
      </c>
      <c r="F211" s="1">
        <v>21.5</v>
      </c>
      <c r="G211" s="3">
        <v>0.784179277129304</v>
      </c>
      <c r="H211" s="4">
        <v>49.3</v>
      </c>
      <c r="I211" s="1">
        <v>37.8</v>
      </c>
      <c r="J211" s="4">
        <v>233.534217626929</v>
      </c>
      <c r="K211" s="13">
        <v>13.0395712237376</v>
      </c>
      <c r="L211" s="9">
        <v>0.146613149216036</v>
      </c>
    </row>
    <row r="212" spans="1:12">
      <c r="A212" s="1">
        <v>45</v>
      </c>
      <c r="B212" s="1">
        <v>8</v>
      </c>
      <c r="C212" s="1">
        <v>8</v>
      </c>
      <c r="D212" s="1">
        <v>0</v>
      </c>
      <c r="E212" s="2">
        <v>2</v>
      </c>
      <c r="F212" s="1">
        <v>21.5</v>
      </c>
      <c r="G212" s="3">
        <v>0.93913980595102</v>
      </c>
      <c r="H212" s="4">
        <v>33.3</v>
      </c>
      <c r="I212" s="1">
        <v>20</v>
      </c>
      <c r="J212" s="4">
        <v>87.9970510144819</v>
      </c>
      <c r="K212" s="13">
        <v>12.8850642809622</v>
      </c>
      <c r="L212" s="9">
        <v>0.254251925240211</v>
      </c>
    </row>
    <row r="213" spans="1:12">
      <c r="A213" s="1">
        <v>50</v>
      </c>
      <c r="B213" s="1">
        <v>8</v>
      </c>
      <c r="C213" s="1">
        <v>8</v>
      </c>
      <c r="D213" s="1">
        <v>0</v>
      </c>
      <c r="E213" s="2">
        <v>2</v>
      </c>
      <c r="F213" s="1">
        <v>21.5</v>
      </c>
      <c r="G213" s="3">
        <v>0.920818198615511</v>
      </c>
      <c r="H213" s="4">
        <v>36</v>
      </c>
      <c r="I213" s="1">
        <v>24.1</v>
      </c>
      <c r="J213" s="4">
        <v>112.042827789435</v>
      </c>
      <c r="K213" s="13">
        <v>13.2293083346762</v>
      </c>
      <c r="L213" s="9">
        <v>0.218999061891885</v>
      </c>
    </row>
    <row r="214" spans="1:12">
      <c r="A214" s="1">
        <v>55</v>
      </c>
      <c r="B214" s="1">
        <v>8</v>
      </c>
      <c r="C214" s="1">
        <v>8</v>
      </c>
      <c r="D214" s="1">
        <v>0</v>
      </c>
      <c r="E214" s="2">
        <v>2</v>
      </c>
      <c r="F214" s="1">
        <v>21.5</v>
      </c>
      <c r="G214" s="3">
        <v>0.89760467536325</v>
      </c>
      <c r="H214" s="4">
        <v>40.1</v>
      </c>
      <c r="I214" s="1">
        <v>28</v>
      </c>
      <c r="J214" s="4">
        <v>135.376344367265</v>
      </c>
      <c r="K214" s="13">
        <v>12.5911728242968</v>
      </c>
      <c r="L214" s="9">
        <v>0.188077667156244</v>
      </c>
    </row>
    <row r="215" spans="1:12">
      <c r="A215" s="1">
        <v>60</v>
      </c>
      <c r="B215" s="1">
        <v>8</v>
      </c>
      <c r="C215" s="1">
        <v>8</v>
      </c>
      <c r="D215" s="1">
        <v>0</v>
      </c>
      <c r="E215" s="2">
        <v>2</v>
      </c>
      <c r="F215" s="1">
        <v>21.5</v>
      </c>
      <c r="G215" s="3">
        <v>0.868253123396246</v>
      </c>
      <c r="H215" s="4">
        <v>43.9</v>
      </c>
      <c r="I215" s="1">
        <v>30.8</v>
      </c>
      <c r="J215" s="4">
        <v>165.620922012326</v>
      </c>
      <c r="K215" s="13">
        <v>12.0310714083706</v>
      </c>
      <c r="L215" s="9">
        <v>0.160253745478932</v>
      </c>
    </row>
    <row r="216" spans="1:12">
      <c r="A216" s="1">
        <v>65</v>
      </c>
      <c r="B216" s="1">
        <v>8</v>
      </c>
      <c r="C216" s="1">
        <v>8</v>
      </c>
      <c r="D216" s="1">
        <v>0</v>
      </c>
      <c r="E216" s="2">
        <v>2</v>
      </c>
      <c r="F216" s="1">
        <v>21.5</v>
      </c>
      <c r="G216" s="3">
        <v>0.831152647810126</v>
      </c>
      <c r="H216" s="4">
        <v>48.2</v>
      </c>
      <c r="I216" s="1">
        <v>34.3</v>
      </c>
      <c r="J216" s="4">
        <v>201.250259908709</v>
      </c>
      <c r="K216" s="13">
        <v>12.2528067596734</v>
      </c>
      <c r="L216" s="9">
        <v>0.139879545681759</v>
      </c>
    </row>
    <row r="217" spans="1:12">
      <c r="A217" s="1">
        <v>70</v>
      </c>
      <c r="B217" s="1">
        <v>8</v>
      </c>
      <c r="C217" s="1">
        <v>8</v>
      </c>
      <c r="D217" s="1">
        <v>0</v>
      </c>
      <c r="E217" s="2">
        <v>2</v>
      </c>
      <c r="F217" s="1">
        <v>21.5</v>
      </c>
      <c r="G217" s="3">
        <v>0.784179277129304</v>
      </c>
      <c r="H217" s="4">
        <v>53.3</v>
      </c>
      <c r="I217" s="1">
        <v>38.2</v>
      </c>
      <c r="J217" s="4">
        <v>241.472883668465</v>
      </c>
      <c r="K217" s="13">
        <v>12.6612925319143</v>
      </c>
      <c r="L217" s="9">
        <v>0.126687231064751</v>
      </c>
    </row>
    <row r="218" spans="1:12">
      <c r="A218" s="20">
        <v>53</v>
      </c>
      <c r="B218" s="20">
        <v>5.8</v>
      </c>
      <c r="C218" s="20">
        <v>8</v>
      </c>
      <c r="D218" s="20">
        <v>0</v>
      </c>
      <c r="E218" s="20">
        <v>1</v>
      </c>
      <c r="F218" s="20">
        <v>21.7</v>
      </c>
      <c r="G218" s="20">
        <v>0.907549932517712</v>
      </c>
      <c r="H218" s="21">
        <v>38.2</v>
      </c>
      <c r="I218" s="20">
        <v>21.7</v>
      </c>
      <c r="J218" s="20">
        <v>91.1225431945159</v>
      </c>
      <c r="K218" s="20">
        <v>7.15242344384206</v>
      </c>
      <c r="L218" s="20">
        <v>0.194724277445487</v>
      </c>
    </row>
    <row r="219" spans="1:12">
      <c r="A219" s="20">
        <v>56</v>
      </c>
      <c r="B219" s="20">
        <v>5.8</v>
      </c>
      <c r="C219" s="20">
        <v>8</v>
      </c>
      <c r="D219" s="20">
        <v>0</v>
      </c>
      <c r="E219" s="20">
        <v>1</v>
      </c>
      <c r="F219" s="20">
        <v>21.8</v>
      </c>
      <c r="G219" s="20">
        <v>0.892270943580611</v>
      </c>
      <c r="H219" s="21">
        <v>41</v>
      </c>
      <c r="I219" s="20">
        <v>23</v>
      </c>
      <c r="J219" s="20">
        <v>100.858712915829</v>
      </c>
      <c r="K219" s="20">
        <v>6.79531166625434</v>
      </c>
      <c r="L219" s="20">
        <v>0.176496790657645</v>
      </c>
    </row>
    <row r="220" spans="1:12">
      <c r="A220" s="20">
        <v>58</v>
      </c>
      <c r="B220" s="20">
        <v>5.8</v>
      </c>
      <c r="C220" s="20">
        <v>8</v>
      </c>
      <c r="D220" s="20">
        <v>0</v>
      </c>
      <c r="E220" s="20">
        <v>1</v>
      </c>
      <c r="F220" s="20">
        <v>21.8</v>
      </c>
      <c r="G220" s="20">
        <v>0.88082379823521</v>
      </c>
      <c r="H220" s="21">
        <v>42.4</v>
      </c>
      <c r="I220" s="20">
        <v>24.2</v>
      </c>
      <c r="J220" s="20">
        <v>109.995354516907</v>
      </c>
      <c r="K220" s="20">
        <v>6.91160192024586</v>
      </c>
      <c r="L220" s="20">
        <v>0.166628401872894</v>
      </c>
    </row>
    <row r="221" spans="1:12">
      <c r="A221" s="20">
        <v>59</v>
      </c>
      <c r="B221" s="20">
        <v>5.8</v>
      </c>
      <c r="C221" s="20">
        <v>8</v>
      </c>
      <c r="D221" s="20">
        <v>0</v>
      </c>
      <c r="E221" s="20">
        <v>1</v>
      </c>
      <c r="F221" s="20">
        <v>21.8</v>
      </c>
      <c r="G221" s="20">
        <v>0.874685538130869</v>
      </c>
      <c r="H221" s="21">
        <v>43.2</v>
      </c>
      <c r="I221" s="20">
        <v>24.7</v>
      </c>
      <c r="J221" s="20">
        <v>114.453622887402</v>
      </c>
      <c r="K221" s="20">
        <v>6.91431410953877</v>
      </c>
      <c r="L221" s="20">
        <v>0.161638386201266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698"/>
  <sheetViews>
    <sheetView zoomScale="70" zoomScaleNormal="70" topLeftCell="A545" workbookViewId="0">
      <selection activeCell="B570" sqref="B570:M572"/>
    </sheetView>
  </sheetViews>
  <sheetFormatPr defaultColWidth="9" defaultRowHeight="15"/>
  <cols>
    <col min="2" max="2" width="10.8761061946903" style="1" customWidth="1"/>
    <col min="3" max="3" width="13.2477876106195" style="1" customWidth="1"/>
    <col min="4" max="4" width="12.3097345132743" style="1" customWidth="1"/>
    <col min="5" max="5" width="8.87610619469027" style="1" customWidth="1"/>
    <col min="7" max="7" width="16" style="1" customWidth="1"/>
    <col min="8" max="8" width="8.3716814159292" style="3" customWidth="1"/>
    <col min="9" max="9" width="15" style="1" customWidth="1"/>
    <col min="10" max="10" width="13.929203539823" style="1" customWidth="1"/>
    <col min="11" max="11" width="12" style="4" customWidth="1"/>
    <col min="12" max="12" width="12" style="13" customWidth="1"/>
    <col min="13" max="13" width="20" style="9" customWidth="1"/>
    <col min="21" max="21" width="9.3716814159292"/>
    <col min="25" max="25" width="9.3716814159292"/>
  </cols>
  <sheetData>
    <row r="1" ht="15.65" spans="2:26">
      <c r="B1" s="1" t="s">
        <v>12</v>
      </c>
      <c r="C1" s="1" t="s">
        <v>13</v>
      </c>
      <c r="D1" s="1" t="s">
        <v>22</v>
      </c>
      <c r="E1" s="1" t="s">
        <v>19</v>
      </c>
      <c r="F1" s="2" t="s">
        <v>21</v>
      </c>
      <c r="G1" s="14" t="s">
        <v>15</v>
      </c>
      <c r="H1" s="3" t="s">
        <v>23</v>
      </c>
      <c r="I1" s="1" t="s">
        <v>14</v>
      </c>
      <c r="J1" s="1" t="s">
        <v>24</v>
      </c>
      <c r="K1" s="4" t="s">
        <v>16</v>
      </c>
      <c r="L1" s="15" t="s">
        <v>25</v>
      </c>
      <c r="M1" s="9" t="s">
        <v>18</v>
      </c>
      <c r="O1" s="16" t="s">
        <v>0</v>
      </c>
      <c r="P1" s="16" t="s">
        <v>1</v>
      </c>
      <c r="Q1" s="16" t="s">
        <v>2</v>
      </c>
      <c r="R1" s="16" t="s">
        <v>3</v>
      </c>
      <c r="S1" s="16" t="s">
        <v>4</v>
      </c>
      <c r="T1" s="16" t="s">
        <v>5</v>
      </c>
      <c r="U1" s="16" t="s">
        <v>6</v>
      </c>
      <c r="V1" s="16" t="s">
        <v>7</v>
      </c>
      <c r="W1" s="16" t="s">
        <v>8</v>
      </c>
      <c r="X1" s="16" t="s">
        <v>9</v>
      </c>
      <c r="Y1" s="16" t="s">
        <v>10</v>
      </c>
      <c r="Z1" s="16" t="s">
        <v>11</v>
      </c>
    </row>
    <row r="2" spans="2:26">
      <c r="B2" s="1">
        <v>65</v>
      </c>
      <c r="C2" s="1">
        <v>4.8</v>
      </c>
      <c r="D2" s="1">
        <v>8</v>
      </c>
      <c r="E2" s="1">
        <v>0</v>
      </c>
      <c r="F2" s="2">
        <v>0</v>
      </c>
      <c r="G2" s="1">
        <v>20</v>
      </c>
      <c r="H2" s="3">
        <v>0.831152647810126</v>
      </c>
      <c r="I2" s="4">
        <v>58.8</v>
      </c>
      <c r="J2" s="1">
        <v>25.5</v>
      </c>
      <c r="K2" s="7">
        <v>80.3970916012888</v>
      </c>
      <c r="L2" s="8">
        <v>2.86599294311187</v>
      </c>
      <c r="M2" s="9">
        <v>0.205768617503156</v>
      </c>
      <c r="O2" s="1">
        <v>65</v>
      </c>
      <c r="P2" s="1">
        <v>4.8</v>
      </c>
      <c r="Q2" s="1">
        <v>8</v>
      </c>
      <c r="R2" s="1">
        <v>0</v>
      </c>
      <c r="S2" s="2">
        <v>0</v>
      </c>
      <c r="T2" s="1">
        <v>20</v>
      </c>
      <c r="U2" s="17">
        <v>0.831152647810126</v>
      </c>
      <c r="V2" s="4">
        <v>58.8</v>
      </c>
      <c r="W2" s="1">
        <v>25.5</v>
      </c>
      <c r="X2" s="8">
        <v>80.3970916012888</v>
      </c>
      <c r="Y2" s="18">
        <v>2.86599294311187</v>
      </c>
      <c r="Z2" s="3">
        <v>0.205768617503156</v>
      </c>
    </row>
    <row r="3" spans="2:26">
      <c r="B3" s="1">
        <v>65</v>
      </c>
      <c r="C3" s="1">
        <v>5.6</v>
      </c>
      <c r="D3" s="1">
        <v>8</v>
      </c>
      <c r="E3" s="1">
        <v>0</v>
      </c>
      <c r="F3" s="2">
        <v>0</v>
      </c>
      <c r="G3" s="1">
        <v>20</v>
      </c>
      <c r="H3" s="3">
        <v>0.831152647810126</v>
      </c>
      <c r="I3" s="4">
        <v>58.5</v>
      </c>
      <c r="J3" s="1">
        <v>28.2</v>
      </c>
      <c r="K3" s="7">
        <v>93.9663743403209</v>
      </c>
      <c r="L3" s="8">
        <v>3.59098499049673</v>
      </c>
      <c r="M3" s="9">
        <v>0.195276377374382</v>
      </c>
      <c r="O3" s="1">
        <v>65</v>
      </c>
      <c r="P3" s="1">
        <v>5.6</v>
      </c>
      <c r="Q3" s="1">
        <v>8</v>
      </c>
      <c r="R3" s="1">
        <v>0</v>
      </c>
      <c r="S3" s="2">
        <v>0</v>
      </c>
      <c r="T3" s="1">
        <v>20</v>
      </c>
      <c r="U3" s="17">
        <v>0.831152647810126</v>
      </c>
      <c r="V3" s="4">
        <v>58.5</v>
      </c>
      <c r="W3" s="1">
        <v>28.2</v>
      </c>
      <c r="X3" s="8">
        <v>93.9663743403209</v>
      </c>
      <c r="Y3" s="18">
        <v>3.59098499049673</v>
      </c>
      <c r="Z3" s="3">
        <v>0.195276377374382</v>
      </c>
    </row>
    <row r="4" spans="2:26">
      <c r="B4" s="1">
        <v>65</v>
      </c>
      <c r="C4" s="1">
        <v>6.4</v>
      </c>
      <c r="D4" s="1">
        <v>8</v>
      </c>
      <c r="E4" s="1">
        <v>0</v>
      </c>
      <c r="F4" s="2">
        <v>0</v>
      </c>
      <c r="G4" s="1">
        <v>20</v>
      </c>
      <c r="H4" s="3">
        <v>0.831152647810126</v>
      </c>
      <c r="I4" s="4">
        <v>58.7</v>
      </c>
      <c r="J4" s="1">
        <v>29.4</v>
      </c>
      <c r="K4" s="7">
        <v>101.075918716203</v>
      </c>
      <c r="L4" s="8">
        <v>3.97551578493556</v>
      </c>
      <c r="M4" s="9">
        <v>0.174068310321897</v>
      </c>
      <c r="O4" s="1">
        <v>65</v>
      </c>
      <c r="P4" s="1">
        <v>6.4</v>
      </c>
      <c r="Q4" s="1">
        <v>8</v>
      </c>
      <c r="R4" s="1">
        <v>0</v>
      </c>
      <c r="S4" s="2">
        <v>0</v>
      </c>
      <c r="T4" s="1">
        <v>20</v>
      </c>
      <c r="U4" s="17">
        <v>0.831152647810126</v>
      </c>
      <c r="V4" s="4">
        <v>58.7</v>
      </c>
      <c r="W4" s="1">
        <v>29.4</v>
      </c>
      <c r="X4" s="8">
        <v>101.075918716203</v>
      </c>
      <c r="Y4" s="18">
        <v>3.97551578493556</v>
      </c>
      <c r="Z4" s="3">
        <v>0.174068310321897</v>
      </c>
    </row>
    <row r="5" spans="2:26">
      <c r="B5" s="1">
        <v>65</v>
      </c>
      <c r="C5" s="1">
        <v>7.2</v>
      </c>
      <c r="D5" s="1">
        <v>8</v>
      </c>
      <c r="E5" s="1">
        <v>0</v>
      </c>
      <c r="F5" s="2">
        <v>0</v>
      </c>
      <c r="G5" s="1">
        <v>20</v>
      </c>
      <c r="H5" s="3">
        <v>0.831152647810126</v>
      </c>
      <c r="I5" s="4">
        <v>59</v>
      </c>
      <c r="J5" s="1">
        <v>29.8</v>
      </c>
      <c r="K5" s="7">
        <v>106.450476972067</v>
      </c>
      <c r="L5" s="8">
        <v>4.21448270463433</v>
      </c>
      <c r="M5" s="9">
        <v>0.156146768269964</v>
      </c>
      <c r="O5" s="1">
        <v>65</v>
      </c>
      <c r="P5" s="1">
        <v>7.2</v>
      </c>
      <c r="Q5" s="1">
        <v>8</v>
      </c>
      <c r="R5" s="1">
        <v>0</v>
      </c>
      <c r="S5" s="2">
        <v>0</v>
      </c>
      <c r="T5" s="1">
        <v>20</v>
      </c>
      <c r="U5" s="17">
        <v>0.831152647810126</v>
      </c>
      <c r="V5" s="4">
        <v>59</v>
      </c>
      <c r="W5" s="1">
        <v>29.8</v>
      </c>
      <c r="X5" s="8">
        <v>106.450476972067</v>
      </c>
      <c r="Y5" s="18">
        <v>4.21448270463433</v>
      </c>
      <c r="Z5" s="3">
        <v>0.156146768269964</v>
      </c>
    </row>
    <row r="6" spans="2:26">
      <c r="B6" s="1">
        <v>65</v>
      </c>
      <c r="C6" s="1">
        <v>8</v>
      </c>
      <c r="D6" s="1">
        <v>8</v>
      </c>
      <c r="E6" s="1">
        <v>0</v>
      </c>
      <c r="F6" s="2">
        <v>0</v>
      </c>
      <c r="G6" s="1">
        <v>20</v>
      </c>
      <c r="H6" s="3">
        <v>0.831152647810126</v>
      </c>
      <c r="I6" s="4">
        <v>59.2</v>
      </c>
      <c r="J6" s="1">
        <v>30.3</v>
      </c>
      <c r="K6" s="7">
        <v>112.512655301199</v>
      </c>
      <c r="L6" s="8">
        <v>4.50431443483432</v>
      </c>
      <c r="M6" s="9">
        <v>0.142881221912198</v>
      </c>
      <c r="O6" s="1">
        <v>65</v>
      </c>
      <c r="P6" s="1">
        <v>8</v>
      </c>
      <c r="Q6" s="1">
        <v>8</v>
      </c>
      <c r="R6" s="1">
        <v>0</v>
      </c>
      <c r="S6" s="2">
        <v>0</v>
      </c>
      <c r="T6" s="1">
        <v>20</v>
      </c>
      <c r="U6" s="17">
        <v>0.831152647810126</v>
      </c>
      <c r="V6" s="4">
        <v>59.2</v>
      </c>
      <c r="W6" s="1">
        <v>30.3</v>
      </c>
      <c r="X6" s="8">
        <v>112.512655301199</v>
      </c>
      <c r="Y6" s="18">
        <v>4.50431443483432</v>
      </c>
      <c r="Z6" s="3">
        <v>0.142881221912198</v>
      </c>
    </row>
    <row r="7" spans="2:26">
      <c r="B7" s="1">
        <v>65</v>
      </c>
      <c r="C7" s="1">
        <v>8.8</v>
      </c>
      <c r="D7" s="1">
        <v>8</v>
      </c>
      <c r="E7" s="1">
        <v>0</v>
      </c>
      <c r="F7" s="2">
        <v>0</v>
      </c>
      <c r="G7" s="1">
        <v>20</v>
      </c>
      <c r="H7" s="3">
        <v>0.831152647810126</v>
      </c>
      <c r="I7" s="4">
        <v>59.6</v>
      </c>
      <c r="J7" s="1">
        <v>30.9</v>
      </c>
      <c r="K7" s="7">
        <v>115.789653861503</v>
      </c>
      <c r="L7" s="8">
        <v>4.68904652442565</v>
      </c>
      <c r="M7" s="9">
        <v>0.132216527779058</v>
      </c>
      <c r="O7" s="1">
        <v>65</v>
      </c>
      <c r="P7" s="1">
        <v>8.8</v>
      </c>
      <c r="Q7" s="1">
        <v>8</v>
      </c>
      <c r="R7" s="1">
        <v>0</v>
      </c>
      <c r="S7" s="2">
        <v>0</v>
      </c>
      <c r="T7" s="1">
        <v>20</v>
      </c>
      <c r="U7" s="17">
        <v>0.831152647810126</v>
      </c>
      <c r="V7" s="4">
        <v>59.6</v>
      </c>
      <c r="W7" s="1">
        <v>30.9</v>
      </c>
      <c r="X7" s="8">
        <v>115.789653861503</v>
      </c>
      <c r="Y7" s="18">
        <v>4.68904652442565</v>
      </c>
      <c r="Z7" s="3">
        <v>0.132216527779058</v>
      </c>
    </row>
    <row r="8" spans="2:26">
      <c r="B8" s="1">
        <v>65</v>
      </c>
      <c r="C8" s="1">
        <v>9.6</v>
      </c>
      <c r="D8" s="1">
        <v>8</v>
      </c>
      <c r="E8" s="1">
        <v>0</v>
      </c>
      <c r="F8" s="2">
        <v>0</v>
      </c>
      <c r="G8" s="1">
        <v>20</v>
      </c>
      <c r="H8" s="3">
        <v>0.831152647810126</v>
      </c>
      <c r="I8" s="4">
        <v>60</v>
      </c>
      <c r="J8" s="1">
        <v>31.3</v>
      </c>
      <c r="K8" s="7">
        <v>118.130797479869</v>
      </c>
      <c r="L8" s="8">
        <v>4.8127458048824</v>
      </c>
      <c r="M8" s="9">
        <v>0.123460113384154</v>
      </c>
      <c r="O8" s="1">
        <v>65</v>
      </c>
      <c r="P8" s="1">
        <v>9.6</v>
      </c>
      <c r="Q8" s="1">
        <v>8</v>
      </c>
      <c r="R8" s="1">
        <v>0</v>
      </c>
      <c r="S8" s="2">
        <v>0</v>
      </c>
      <c r="T8" s="1">
        <v>20</v>
      </c>
      <c r="U8" s="17">
        <v>0.831152647810126</v>
      </c>
      <c r="V8" s="4">
        <v>60</v>
      </c>
      <c r="W8" s="1">
        <v>31.3</v>
      </c>
      <c r="X8" s="8">
        <v>118.130797479869</v>
      </c>
      <c r="Y8" s="18">
        <v>4.8127458048824</v>
      </c>
      <c r="Z8" s="3">
        <v>0.123460113384154</v>
      </c>
    </row>
    <row r="9" spans="2:26">
      <c r="B9" s="1">
        <v>50</v>
      </c>
      <c r="C9" s="1">
        <v>4.8</v>
      </c>
      <c r="D9" s="1">
        <v>8</v>
      </c>
      <c r="E9" s="1">
        <v>0</v>
      </c>
      <c r="F9" s="2">
        <v>0</v>
      </c>
      <c r="G9" s="1">
        <v>20</v>
      </c>
      <c r="H9" s="3">
        <v>0.920818198615511</v>
      </c>
      <c r="I9" s="4">
        <v>44.5</v>
      </c>
      <c r="J9" s="1">
        <v>15.5</v>
      </c>
      <c r="K9" s="7">
        <v>44.2901124461041</v>
      </c>
      <c r="L9" s="8">
        <v>2.32312476739517</v>
      </c>
      <c r="M9" s="9">
        <v>0.242147767365872</v>
      </c>
      <c r="O9" s="1">
        <v>50</v>
      </c>
      <c r="P9" s="1">
        <v>4.8</v>
      </c>
      <c r="Q9" s="1">
        <v>8</v>
      </c>
      <c r="R9" s="1">
        <v>0</v>
      </c>
      <c r="S9" s="2">
        <v>0</v>
      </c>
      <c r="T9" s="1">
        <v>20</v>
      </c>
      <c r="U9" s="17">
        <v>0.920818198615511</v>
      </c>
      <c r="V9" s="4">
        <v>44.5</v>
      </c>
      <c r="W9" s="1">
        <v>15.5</v>
      </c>
      <c r="X9" s="8">
        <v>44.2901124461041</v>
      </c>
      <c r="Y9" s="18">
        <v>2.32312476739517</v>
      </c>
      <c r="Z9" s="3">
        <v>0.242147767365872</v>
      </c>
    </row>
    <row r="10" spans="2:26">
      <c r="B10" s="1">
        <v>50</v>
      </c>
      <c r="C10" s="1">
        <v>5.6</v>
      </c>
      <c r="D10" s="1">
        <v>8</v>
      </c>
      <c r="E10" s="1">
        <v>0</v>
      </c>
      <c r="F10" s="2">
        <v>0</v>
      </c>
      <c r="G10" s="1">
        <v>20</v>
      </c>
      <c r="H10" s="3">
        <v>0.920818198615511</v>
      </c>
      <c r="I10" s="4">
        <v>45</v>
      </c>
      <c r="J10" s="1">
        <v>17</v>
      </c>
      <c r="K10" s="7">
        <v>46.9569795919232</v>
      </c>
      <c r="L10" s="8">
        <v>2.55886764871943</v>
      </c>
      <c r="M10" s="9">
        <v>0.217627973445689</v>
      </c>
      <c r="O10" s="1">
        <v>50</v>
      </c>
      <c r="P10" s="1">
        <v>5.6</v>
      </c>
      <c r="Q10" s="1">
        <v>8</v>
      </c>
      <c r="R10" s="1">
        <v>0</v>
      </c>
      <c r="S10" s="2">
        <v>0</v>
      </c>
      <c r="T10" s="1">
        <v>20</v>
      </c>
      <c r="U10" s="17">
        <v>0.920818198615511</v>
      </c>
      <c r="V10" s="4">
        <v>45</v>
      </c>
      <c r="W10" s="1">
        <v>17</v>
      </c>
      <c r="X10" s="8">
        <v>46.9569795919232</v>
      </c>
      <c r="Y10" s="18">
        <v>2.55886764871943</v>
      </c>
      <c r="Z10" s="3">
        <v>0.217627973445689</v>
      </c>
    </row>
    <row r="11" spans="2:26">
      <c r="B11" s="1">
        <v>50</v>
      </c>
      <c r="C11" s="1">
        <v>6.4</v>
      </c>
      <c r="D11" s="1">
        <v>8</v>
      </c>
      <c r="E11" s="1">
        <v>0</v>
      </c>
      <c r="F11" s="2">
        <v>0</v>
      </c>
      <c r="G11" s="1">
        <v>20</v>
      </c>
      <c r="H11" s="3">
        <v>0.920818198615511</v>
      </c>
      <c r="I11" s="4">
        <v>44.8</v>
      </c>
      <c r="J11" s="1">
        <v>17.9</v>
      </c>
      <c r="K11" s="7">
        <v>52.7051791078992</v>
      </c>
      <c r="L11" s="8">
        <v>2.97820865319839</v>
      </c>
      <c r="M11" s="9">
        <v>0.201901638801274</v>
      </c>
      <c r="O11" s="1">
        <v>50</v>
      </c>
      <c r="P11" s="1">
        <v>6.4</v>
      </c>
      <c r="Q11" s="1">
        <v>8</v>
      </c>
      <c r="R11" s="1">
        <v>0</v>
      </c>
      <c r="S11" s="2">
        <v>0</v>
      </c>
      <c r="T11" s="1">
        <v>20</v>
      </c>
      <c r="U11" s="17">
        <v>0.920818198615511</v>
      </c>
      <c r="V11" s="4">
        <v>44.8</v>
      </c>
      <c r="W11" s="1">
        <v>17.9</v>
      </c>
      <c r="X11" s="8">
        <v>52.7051791078992</v>
      </c>
      <c r="Y11" s="18">
        <v>2.97820865319839</v>
      </c>
      <c r="Z11" s="3">
        <v>0.201901638801274</v>
      </c>
    </row>
    <row r="12" spans="2:26">
      <c r="B12" s="1">
        <v>50</v>
      </c>
      <c r="C12" s="1">
        <v>7.2</v>
      </c>
      <c r="D12" s="1">
        <v>8</v>
      </c>
      <c r="E12" s="1">
        <v>0</v>
      </c>
      <c r="F12" s="2">
        <v>0</v>
      </c>
      <c r="G12" s="1">
        <v>20</v>
      </c>
      <c r="H12" s="3">
        <v>0.920818198615511</v>
      </c>
      <c r="I12" s="4">
        <v>44.7</v>
      </c>
      <c r="J12" s="1">
        <v>18.8</v>
      </c>
      <c r="K12" s="7">
        <v>57.4546105721158</v>
      </c>
      <c r="L12" s="8">
        <v>3.36594416565108</v>
      </c>
      <c r="M12" s="9">
        <v>0.184626972127714</v>
      </c>
      <c r="O12" s="1">
        <v>50</v>
      </c>
      <c r="P12" s="1">
        <v>7.2</v>
      </c>
      <c r="Q12" s="1">
        <v>8</v>
      </c>
      <c r="R12" s="1">
        <v>0</v>
      </c>
      <c r="S12" s="2">
        <v>0</v>
      </c>
      <c r="T12" s="1">
        <v>20</v>
      </c>
      <c r="U12" s="17">
        <v>0.920818198615511</v>
      </c>
      <c r="V12" s="4">
        <v>44.7</v>
      </c>
      <c r="W12" s="1">
        <v>18.8</v>
      </c>
      <c r="X12" s="8">
        <v>57.4546105721158</v>
      </c>
      <c r="Y12" s="18">
        <v>3.36594416565108</v>
      </c>
      <c r="Z12" s="3">
        <v>0.184626972127714</v>
      </c>
    </row>
    <row r="13" spans="2:26">
      <c r="B13" s="1">
        <v>50</v>
      </c>
      <c r="C13" s="1">
        <v>8</v>
      </c>
      <c r="D13" s="1">
        <v>8</v>
      </c>
      <c r="E13" s="1">
        <v>0</v>
      </c>
      <c r="F13" s="2">
        <v>0</v>
      </c>
      <c r="G13" s="1">
        <v>20</v>
      </c>
      <c r="H13" s="3">
        <v>0.920818198615511</v>
      </c>
      <c r="I13" s="4">
        <v>45</v>
      </c>
      <c r="J13" s="1">
        <v>19.6</v>
      </c>
      <c r="K13" s="7">
        <v>60.5099384329879</v>
      </c>
      <c r="L13" s="8">
        <v>3.63503101604244</v>
      </c>
      <c r="M13" s="9">
        <v>0.174608395543656</v>
      </c>
      <c r="O13" s="1">
        <v>50</v>
      </c>
      <c r="P13" s="1">
        <v>8</v>
      </c>
      <c r="Q13" s="1">
        <v>8</v>
      </c>
      <c r="R13" s="1">
        <v>0</v>
      </c>
      <c r="S13" s="2">
        <v>0</v>
      </c>
      <c r="T13" s="1">
        <v>20</v>
      </c>
      <c r="U13" s="17">
        <v>0.920818198615511</v>
      </c>
      <c r="V13" s="4">
        <v>45</v>
      </c>
      <c r="W13" s="1">
        <v>19.6</v>
      </c>
      <c r="X13" s="8">
        <v>60.5099384329879</v>
      </c>
      <c r="Y13" s="18">
        <v>3.63503101604244</v>
      </c>
      <c r="Z13" s="3">
        <v>0.174608395543656</v>
      </c>
    </row>
    <row r="14" spans="2:26">
      <c r="B14" s="1">
        <v>50</v>
      </c>
      <c r="C14" s="1">
        <v>8.8</v>
      </c>
      <c r="D14" s="1">
        <v>8</v>
      </c>
      <c r="E14" s="1">
        <v>0</v>
      </c>
      <c r="F14" s="2">
        <v>0</v>
      </c>
      <c r="G14" s="1">
        <v>20</v>
      </c>
      <c r="H14" s="3">
        <v>0.920818198615511</v>
      </c>
      <c r="I14" s="4">
        <v>45.2</v>
      </c>
      <c r="J14" s="1">
        <v>20.3</v>
      </c>
      <c r="K14" s="7">
        <v>63.7084927508656</v>
      </c>
      <c r="L14" s="8">
        <v>3.92410656302315</v>
      </c>
      <c r="M14" s="9">
        <v>0.16556589606606</v>
      </c>
      <c r="O14" s="1">
        <v>50</v>
      </c>
      <c r="P14" s="1">
        <v>8.8</v>
      </c>
      <c r="Q14" s="1">
        <v>8</v>
      </c>
      <c r="R14" s="1">
        <v>0</v>
      </c>
      <c r="S14" s="2">
        <v>0</v>
      </c>
      <c r="T14" s="1">
        <v>20</v>
      </c>
      <c r="U14" s="17">
        <v>0.920818198615511</v>
      </c>
      <c r="V14" s="4">
        <v>45.2</v>
      </c>
      <c r="W14" s="1">
        <v>20.3</v>
      </c>
      <c r="X14" s="8">
        <v>63.7084927508656</v>
      </c>
      <c r="Y14" s="18">
        <v>3.92410656302315</v>
      </c>
      <c r="Z14" s="3">
        <v>0.16556589606606</v>
      </c>
    </row>
    <row r="15" spans="2:26">
      <c r="B15" s="1">
        <v>50</v>
      </c>
      <c r="C15" s="1">
        <v>9.6</v>
      </c>
      <c r="D15" s="1">
        <v>8</v>
      </c>
      <c r="E15" s="1">
        <v>0</v>
      </c>
      <c r="F15" s="2">
        <v>0</v>
      </c>
      <c r="G15" s="1">
        <v>20</v>
      </c>
      <c r="H15" s="3">
        <v>0.920818198615511</v>
      </c>
      <c r="I15" s="4">
        <v>45.4</v>
      </c>
      <c r="J15" s="1">
        <v>20.8</v>
      </c>
      <c r="K15" s="7">
        <v>65.5314900202874</v>
      </c>
      <c r="L15" s="8">
        <v>4.10803841033221</v>
      </c>
      <c r="M15" s="9">
        <v>0.151914316043152</v>
      </c>
      <c r="O15" s="1">
        <v>50</v>
      </c>
      <c r="P15" s="1">
        <v>9.6</v>
      </c>
      <c r="Q15" s="1">
        <v>8</v>
      </c>
      <c r="R15" s="1">
        <v>0</v>
      </c>
      <c r="S15" s="2">
        <v>0</v>
      </c>
      <c r="T15" s="1">
        <v>20</v>
      </c>
      <c r="U15" s="17">
        <v>0.920818198615511</v>
      </c>
      <c r="V15" s="4">
        <v>45.4</v>
      </c>
      <c r="W15" s="1">
        <v>20.8</v>
      </c>
      <c r="X15" s="8">
        <v>65.5314900202874</v>
      </c>
      <c r="Y15" s="18">
        <v>4.10803841033221</v>
      </c>
      <c r="Z15" s="3">
        <v>0.151914316043152</v>
      </c>
    </row>
    <row r="16" spans="2:26">
      <c r="B16" s="1">
        <v>55</v>
      </c>
      <c r="C16" s="1">
        <v>4.8</v>
      </c>
      <c r="D16" s="1">
        <v>8</v>
      </c>
      <c r="E16" s="1">
        <v>0</v>
      </c>
      <c r="F16" s="2">
        <v>0</v>
      </c>
      <c r="G16" s="1">
        <v>20</v>
      </c>
      <c r="H16" s="3">
        <v>0.89760467536325</v>
      </c>
      <c r="I16" s="4">
        <v>50</v>
      </c>
      <c r="J16" s="1">
        <v>17.5</v>
      </c>
      <c r="K16" s="7">
        <v>49.1007103773796</v>
      </c>
      <c r="L16" s="8">
        <v>2.11720888615174</v>
      </c>
      <c r="M16" s="9">
        <v>0.215016677606586</v>
      </c>
      <c r="O16" s="1">
        <v>55</v>
      </c>
      <c r="P16" s="1">
        <v>4.8</v>
      </c>
      <c r="Q16" s="1">
        <v>8</v>
      </c>
      <c r="R16" s="1">
        <v>0</v>
      </c>
      <c r="S16" s="2">
        <v>0</v>
      </c>
      <c r="T16" s="1">
        <v>20</v>
      </c>
      <c r="U16" s="17">
        <v>0.89760467536325</v>
      </c>
      <c r="V16" s="4">
        <v>50</v>
      </c>
      <c r="W16" s="1">
        <v>17.5</v>
      </c>
      <c r="X16" s="8">
        <v>49.1007103773796</v>
      </c>
      <c r="Y16" s="18">
        <v>2.11720888615174</v>
      </c>
      <c r="Z16" s="3">
        <v>0.215016677606586</v>
      </c>
    </row>
    <row r="17" spans="2:26">
      <c r="B17" s="1">
        <v>55</v>
      </c>
      <c r="C17" s="1">
        <v>5.6</v>
      </c>
      <c r="D17" s="1">
        <v>8</v>
      </c>
      <c r="E17" s="1">
        <v>0</v>
      </c>
      <c r="F17" s="2">
        <v>0</v>
      </c>
      <c r="G17" s="1">
        <v>20</v>
      </c>
      <c r="H17" s="3">
        <v>0.89760467536325</v>
      </c>
      <c r="I17" s="4">
        <v>49.8</v>
      </c>
      <c r="J17" s="1">
        <v>18.9</v>
      </c>
      <c r="K17" s="7">
        <v>55.801026633549</v>
      </c>
      <c r="L17" s="8">
        <v>2.50774343561872</v>
      </c>
      <c r="M17" s="9">
        <v>0.19575300057995</v>
      </c>
      <c r="O17" s="1">
        <v>55</v>
      </c>
      <c r="P17" s="1">
        <v>5.6</v>
      </c>
      <c r="Q17" s="1">
        <v>8</v>
      </c>
      <c r="R17" s="1">
        <v>0</v>
      </c>
      <c r="S17" s="2">
        <v>0</v>
      </c>
      <c r="T17" s="1">
        <v>20</v>
      </c>
      <c r="U17" s="17">
        <v>0.89760467536325</v>
      </c>
      <c r="V17" s="4">
        <v>49.8</v>
      </c>
      <c r="W17" s="1">
        <v>18.9</v>
      </c>
      <c r="X17" s="8">
        <v>55.801026633549</v>
      </c>
      <c r="Y17" s="18">
        <v>2.50774343561872</v>
      </c>
      <c r="Z17" s="3">
        <v>0.19575300057995</v>
      </c>
    </row>
    <row r="18" spans="2:26">
      <c r="B18" s="1">
        <v>55</v>
      </c>
      <c r="C18" s="1">
        <v>6.4</v>
      </c>
      <c r="D18" s="1">
        <v>8</v>
      </c>
      <c r="E18" s="1">
        <v>0</v>
      </c>
      <c r="F18" s="2">
        <v>0</v>
      </c>
      <c r="G18" s="1">
        <v>20</v>
      </c>
      <c r="H18" s="3">
        <v>0.89760467536325</v>
      </c>
      <c r="I18" s="4">
        <v>49.8</v>
      </c>
      <c r="J18" s="1">
        <v>20.4</v>
      </c>
      <c r="K18" s="7">
        <v>62.5453420927097</v>
      </c>
      <c r="L18" s="8">
        <v>2.93587368667023</v>
      </c>
      <c r="M18" s="9">
        <v>0.187526481467042</v>
      </c>
      <c r="O18" s="1">
        <v>55</v>
      </c>
      <c r="P18" s="1">
        <v>6.4</v>
      </c>
      <c r="Q18" s="1">
        <v>8</v>
      </c>
      <c r="R18" s="1">
        <v>0</v>
      </c>
      <c r="S18" s="2">
        <v>0</v>
      </c>
      <c r="T18" s="1">
        <v>20</v>
      </c>
      <c r="U18" s="17">
        <v>0.89760467536325</v>
      </c>
      <c r="V18" s="4">
        <v>49.8</v>
      </c>
      <c r="W18" s="1">
        <v>20.4</v>
      </c>
      <c r="X18" s="8">
        <v>62.5453420927097</v>
      </c>
      <c r="Y18" s="18">
        <v>2.93587368667023</v>
      </c>
      <c r="Z18" s="3">
        <v>0.187526481467042</v>
      </c>
    </row>
    <row r="19" spans="2:26">
      <c r="B19" s="1">
        <v>55</v>
      </c>
      <c r="C19" s="1">
        <v>7.2</v>
      </c>
      <c r="D19" s="1">
        <v>8</v>
      </c>
      <c r="E19" s="1">
        <v>0</v>
      </c>
      <c r="F19" s="2">
        <v>0</v>
      </c>
      <c r="G19" s="1">
        <v>20</v>
      </c>
      <c r="H19" s="3">
        <v>0.89760467536325</v>
      </c>
      <c r="I19" s="4">
        <v>49.7</v>
      </c>
      <c r="J19" s="1">
        <v>21.2</v>
      </c>
      <c r="K19" s="7">
        <v>68.0243466832689</v>
      </c>
      <c r="L19" s="8">
        <v>3.27919472050547</v>
      </c>
      <c r="M19" s="9">
        <v>0.169673761308698</v>
      </c>
      <c r="O19" s="1">
        <v>55</v>
      </c>
      <c r="P19" s="1">
        <v>7.2</v>
      </c>
      <c r="Q19" s="1">
        <v>8</v>
      </c>
      <c r="R19" s="1">
        <v>0</v>
      </c>
      <c r="S19" s="2">
        <v>0</v>
      </c>
      <c r="T19" s="1">
        <v>20</v>
      </c>
      <c r="U19" s="17">
        <v>0.89760467536325</v>
      </c>
      <c r="V19" s="4">
        <v>49.7</v>
      </c>
      <c r="W19" s="1">
        <v>21.2</v>
      </c>
      <c r="X19" s="8">
        <v>68.0243466832689</v>
      </c>
      <c r="Y19" s="18">
        <v>3.27919472050547</v>
      </c>
      <c r="Z19" s="3">
        <v>0.169673761308698</v>
      </c>
    </row>
    <row r="20" spans="2:26">
      <c r="B20" s="1">
        <v>55</v>
      </c>
      <c r="C20" s="1">
        <v>8</v>
      </c>
      <c r="D20" s="1">
        <v>8</v>
      </c>
      <c r="E20" s="1">
        <v>0</v>
      </c>
      <c r="F20" s="2">
        <v>0</v>
      </c>
      <c r="G20" s="1">
        <v>20</v>
      </c>
      <c r="H20" s="3">
        <v>0.89760467536325</v>
      </c>
      <c r="I20" s="4">
        <v>50</v>
      </c>
      <c r="J20" s="1">
        <v>22.1</v>
      </c>
      <c r="K20" s="7">
        <v>71.7212577785457</v>
      </c>
      <c r="L20" s="8">
        <v>3.53980087537844</v>
      </c>
      <c r="M20" s="9">
        <v>0.160767382092048</v>
      </c>
      <c r="O20" s="1">
        <v>55</v>
      </c>
      <c r="P20" s="1">
        <v>8</v>
      </c>
      <c r="Q20" s="1">
        <v>8</v>
      </c>
      <c r="R20" s="1">
        <v>0</v>
      </c>
      <c r="S20" s="2">
        <v>0</v>
      </c>
      <c r="T20" s="1">
        <v>20</v>
      </c>
      <c r="U20" s="17">
        <v>0.89760467536325</v>
      </c>
      <c r="V20" s="4">
        <v>50</v>
      </c>
      <c r="W20" s="1">
        <v>22.1</v>
      </c>
      <c r="X20" s="8">
        <v>71.7212577785457</v>
      </c>
      <c r="Y20" s="18">
        <v>3.53980087537844</v>
      </c>
      <c r="Z20" s="3">
        <v>0.160767382092048</v>
      </c>
    </row>
    <row r="21" spans="2:26">
      <c r="B21" s="1">
        <v>55</v>
      </c>
      <c r="C21" s="1">
        <v>8.8</v>
      </c>
      <c r="D21" s="1">
        <v>8</v>
      </c>
      <c r="E21" s="1">
        <v>0</v>
      </c>
      <c r="F21" s="2">
        <v>0</v>
      </c>
      <c r="G21" s="1">
        <v>20</v>
      </c>
      <c r="H21" s="3">
        <v>0.89760467536325</v>
      </c>
      <c r="I21" s="4">
        <v>50.2</v>
      </c>
      <c r="J21" s="1">
        <v>23</v>
      </c>
      <c r="K21" s="7">
        <v>74.8927648620608</v>
      </c>
      <c r="L21" s="8">
        <v>3.79786673093307</v>
      </c>
      <c r="M21" s="9">
        <v>0.149219801021184</v>
      </c>
      <c r="O21" s="1">
        <v>55</v>
      </c>
      <c r="P21" s="1">
        <v>8.8</v>
      </c>
      <c r="Q21" s="1">
        <v>8</v>
      </c>
      <c r="R21" s="1">
        <v>0</v>
      </c>
      <c r="S21" s="2">
        <v>0</v>
      </c>
      <c r="T21" s="1">
        <v>20</v>
      </c>
      <c r="U21" s="17">
        <v>0.89760467536325</v>
      </c>
      <c r="V21" s="4">
        <v>50.2</v>
      </c>
      <c r="W21" s="1">
        <v>23</v>
      </c>
      <c r="X21" s="8">
        <v>74.8927648620608</v>
      </c>
      <c r="Y21" s="18">
        <v>3.79786673093307</v>
      </c>
      <c r="Z21" s="3">
        <v>0.149219801021184</v>
      </c>
    </row>
    <row r="22" spans="2:26">
      <c r="B22" s="1">
        <v>55</v>
      </c>
      <c r="C22" s="1">
        <v>9.6</v>
      </c>
      <c r="D22" s="1">
        <v>8</v>
      </c>
      <c r="E22" s="1">
        <v>0</v>
      </c>
      <c r="F22" s="2">
        <v>0</v>
      </c>
      <c r="G22" s="1">
        <v>20</v>
      </c>
      <c r="H22" s="3">
        <v>0.89760467536325</v>
      </c>
      <c r="I22" s="4">
        <v>50.4</v>
      </c>
      <c r="J22" s="1">
        <v>23.3</v>
      </c>
      <c r="K22" s="7">
        <v>77.6336719792113</v>
      </c>
      <c r="L22" s="8">
        <v>3.96410717139016</v>
      </c>
      <c r="M22" s="9">
        <v>0.139071207879577</v>
      </c>
      <c r="O22" s="1">
        <v>55</v>
      </c>
      <c r="P22" s="1">
        <v>9.6</v>
      </c>
      <c r="Q22" s="1">
        <v>8</v>
      </c>
      <c r="R22" s="1">
        <v>0</v>
      </c>
      <c r="S22" s="2">
        <v>0</v>
      </c>
      <c r="T22" s="1">
        <v>20</v>
      </c>
      <c r="U22" s="17">
        <v>0.89760467536325</v>
      </c>
      <c r="V22" s="4">
        <v>50.4</v>
      </c>
      <c r="W22" s="1">
        <v>23.3</v>
      </c>
      <c r="X22" s="8">
        <v>77.6336719792113</v>
      </c>
      <c r="Y22" s="18">
        <v>3.96410717139016</v>
      </c>
      <c r="Z22" s="3">
        <v>0.139071207879577</v>
      </c>
    </row>
    <row r="23" spans="2:26">
      <c r="B23" s="1">
        <v>60</v>
      </c>
      <c r="C23" s="1">
        <v>4.8</v>
      </c>
      <c r="D23" s="1">
        <v>8</v>
      </c>
      <c r="E23" s="1">
        <v>0</v>
      </c>
      <c r="F23" s="2">
        <v>0</v>
      </c>
      <c r="G23" s="1">
        <v>20</v>
      </c>
      <c r="H23" s="3">
        <v>0.868253123396246</v>
      </c>
      <c r="I23" s="4">
        <v>53.6</v>
      </c>
      <c r="J23" s="1">
        <v>21.1</v>
      </c>
      <c r="K23" s="7">
        <v>66.6894095618254</v>
      </c>
      <c r="L23" s="8">
        <v>2.61025136780021</v>
      </c>
      <c r="M23" s="9">
        <v>0.207986642650709</v>
      </c>
      <c r="O23" s="1">
        <v>60</v>
      </c>
      <c r="P23" s="1">
        <v>4.8</v>
      </c>
      <c r="Q23" s="1">
        <v>8</v>
      </c>
      <c r="R23" s="1">
        <v>0</v>
      </c>
      <c r="S23" s="2">
        <v>0</v>
      </c>
      <c r="T23" s="1">
        <v>20</v>
      </c>
      <c r="U23" s="17">
        <v>0.868253123396246</v>
      </c>
      <c r="V23" s="4">
        <v>53.6</v>
      </c>
      <c r="W23" s="1">
        <v>21.1</v>
      </c>
      <c r="X23" s="8">
        <v>66.6894095618254</v>
      </c>
      <c r="Y23" s="18">
        <v>2.61025136780021</v>
      </c>
      <c r="Z23" s="3">
        <v>0.207986642650709</v>
      </c>
    </row>
    <row r="24" spans="2:26">
      <c r="B24" s="1">
        <v>60</v>
      </c>
      <c r="C24" s="1">
        <v>5.6</v>
      </c>
      <c r="D24" s="1">
        <v>8</v>
      </c>
      <c r="E24" s="1">
        <v>0</v>
      </c>
      <c r="F24" s="2">
        <v>0</v>
      </c>
      <c r="G24" s="1">
        <v>20</v>
      </c>
      <c r="H24" s="3">
        <v>0.868253123396246</v>
      </c>
      <c r="I24" s="4">
        <v>54</v>
      </c>
      <c r="J24" s="1">
        <v>22.8</v>
      </c>
      <c r="K24" s="7">
        <v>73.5459607254368</v>
      </c>
      <c r="L24" s="8">
        <v>2.98321302603227</v>
      </c>
      <c r="M24" s="9">
        <v>0.196241662460348</v>
      </c>
      <c r="O24" s="1">
        <v>60</v>
      </c>
      <c r="P24" s="1">
        <v>5.6</v>
      </c>
      <c r="Q24" s="1">
        <v>8</v>
      </c>
      <c r="R24" s="1">
        <v>0</v>
      </c>
      <c r="S24" s="2">
        <v>0</v>
      </c>
      <c r="T24" s="1">
        <v>20</v>
      </c>
      <c r="U24" s="17">
        <v>0.868253123396246</v>
      </c>
      <c r="V24" s="4">
        <v>54</v>
      </c>
      <c r="W24" s="1">
        <v>22.8</v>
      </c>
      <c r="X24" s="8">
        <v>73.5459607254368</v>
      </c>
      <c r="Y24" s="18">
        <v>2.98321302603227</v>
      </c>
      <c r="Z24" s="3">
        <v>0.196241662460348</v>
      </c>
    </row>
    <row r="25" spans="2:26">
      <c r="B25" s="1">
        <v>60</v>
      </c>
      <c r="C25" s="1">
        <v>6.4</v>
      </c>
      <c r="D25" s="1">
        <v>8</v>
      </c>
      <c r="E25" s="1">
        <v>0</v>
      </c>
      <c r="F25" s="2">
        <v>0</v>
      </c>
      <c r="G25" s="1">
        <v>20</v>
      </c>
      <c r="H25" s="3">
        <v>0.868253123396246</v>
      </c>
      <c r="I25" s="4">
        <v>54.5</v>
      </c>
      <c r="J25" s="1">
        <v>24.1</v>
      </c>
      <c r="K25" s="7">
        <v>78.3826745207909</v>
      </c>
      <c r="L25" s="8">
        <v>3.264428592917</v>
      </c>
      <c r="M25" s="9">
        <v>0.184260776513449</v>
      </c>
      <c r="O25" s="1">
        <v>60</v>
      </c>
      <c r="P25" s="1">
        <v>6.4</v>
      </c>
      <c r="Q25" s="1">
        <v>8</v>
      </c>
      <c r="R25" s="1">
        <v>0</v>
      </c>
      <c r="S25" s="2">
        <v>0</v>
      </c>
      <c r="T25" s="1">
        <v>20</v>
      </c>
      <c r="U25" s="17">
        <v>0.868253123396246</v>
      </c>
      <c r="V25" s="4">
        <v>54.5</v>
      </c>
      <c r="W25" s="1">
        <v>24.1</v>
      </c>
      <c r="X25" s="8">
        <v>78.3826745207909</v>
      </c>
      <c r="Y25" s="18">
        <v>3.264428592917</v>
      </c>
      <c r="Z25" s="3">
        <v>0.184260776513449</v>
      </c>
    </row>
    <row r="26" spans="2:26">
      <c r="B26" s="1">
        <v>60</v>
      </c>
      <c r="C26" s="1">
        <v>7.2</v>
      </c>
      <c r="D26" s="1">
        <v>8</v>
      </c>
      <c r="E26" s="1">
        <v>0</v>
      </c>
      <c r="F26" s="2">
        <v>0</v>
      </c>
      <c r="G26" s="1">
        <v>20</v>
      </c>
      <c r="H26" s="3">
        <v>0.868253123396246</v>
      </c>
      <c r="I26" s="4">
        <v>54.7</v>
      </c>
      <c r="J26" s="1">
        <v>25</v>
      </c>
      <c r="K26" s="7">
        <v>84.2175244306075</v>
      </c>
      <c r="L26" s="8">
        <v>3.5853985920973</v>
      </c>
      <c r="M26" s="9">
        <v>0.17268024867354</v>
      </c>
      <c r="O26" s="1">
        <v>60</v>
      </c>
      <c r="P26" s="1">
        <v>7.2</v>
      </c>
      <c r="Q26" s="1">
        <v>8</v>
      </c>
      <c r="R26" s="1">
        <v>0</v>
      </c>
      <c r="S26" s="2">
        <v>0</v>
      </c>
      <c r="T26" s="1">
        <v>20</v>
      </c>
      <c r="U26" s="17">
        <v>0.868253123396246</v>
      </c>
      <c r="V26" s="4">
        <v>54.7</v>
      </c>
      <c r="W26" s="1">
        <v>25</v>
      </c>
      <c r="X26" s="8">
        <v>84.2175244306075</v>
      </c>
      <c r="Y26" s="18">
        <v>3.5853985920973</v>
      </c>
      <c r="Z26" s="3">
        <v>0.17268024867354</v>
      </c>
    </row>
    <row r="27" spans="2:26">
      <c r="B27" s="1">
        <v>60</v>
      </c>
      <c r="C27" s="1">
        <v>8</v>
      </c>
      <c r="D27" s="1">
        <v>8</v>
      </c>
      <c r="E27" s="1">
        <v>0</v>
      </c>
      <c r="F27" s="2">
        <v>0</v>
      </c>
      <c r="G27" s="1">
        <v>20</v>
      </c>
      <c r="H27" s="3">
        <v>0.868253123396246</v>
      </c>
      <c r="I27" s="4">
        <v>55</v>
      </c>
      <c r="J27" s="1">
        <v>26.2</v>
      </c>
      <c r="K27" s="7">
        <v>87.500340652391</v>
      </c>
      <c r="L27" s="8">
        <v>3.84126276435065</v>
      </c>
      <c r="M27" s="9">
        <v>0.157791833876485</v>
      </c>
      <c r="O27" s="1">
        <v>60</v>
      </c>
      <c r="P27" s="1">
        <v>8</v>
      </c>
      <c r="Q27" s="1">
        <v>8</v>
      </c>
      <c r="R27" s="1">
        <v>0</v>
      </c>
      <c r="S27" s="2">
        <v>0</v>
      </c>
      <c r="T27" s="1">
        <v>20</v>
      </c>
      <c r="U27" s="17">
        <v>0.868253123396246</v>
      </c>
      <c r="V27" s="4">
        <v>55</v>
      </c>
      <c r="W27" s="1">
        <v>26.2</v>
      </c>
      <c r="X27" s="8">
        <v>87.500340652391</v>
      </c>
      <c r="Y27" s="18">
        <v>3.84126276435065</v>
      </c>
      <c r="Z27" s="3">
        <v>0.157791833876485</v>
      </c>
    </row>
    <row r="28" spans="2:26">
      <c r="B28" s="1">
        <v>60</v>
      </c>
      <c r="C28" s="1">
        <v>8.8</v>
      </c>
      <c r="D28" s="1">
        <v>8</v>
      </c>
      <c r="E28" s="1">
        <v>0</v>
      </c>
      <c r="F28" s="2">
        <v>0</v>
      </c>
      <c r="G28" s="1">
        <v>20</v>
      </c>
      <c r="H28" s="3">
        <v>0.868253123396246</v>
      </c>
      <c r="I28" s="4">
        <v>55.2</v>
      </c>
      <c r="J28" s="1">
        <v>26.7</v>
      </c>
      <c r="K28" s="7">
        <v>92.0041274768622</v>
      </c>
      <c r="L28" s="8">
        <v>4.08885687478331</v>
      </c>
      <c r="M28" s="9">
        <v>0.148800237078873</v>
      </c>
      <c r="O28" s="1">
        <v>60</v>
      </c>
      <c r="P28" s="1">
        <v>8.8</v>
      </c>
      <c r="Q28" s="1">
        <v>8</v>
      </c>
      <c r="R28" s="1">
        <v>0</v>
      </c>
      <c r="S28" s="2">
        <v>0</v>
      </c>
      <c r="T28" s="1">
        <v>20</v>
      </c>
      <c r="U28" s="17">
        <v>0.868253123396246</v>
      </c>
      <c r="V28" s="4">
        <v>55.2</v>
      </c>
      <c r="W28" s="1">
        <v>26.7</v>
      </c>
      <c r="X28" s="8">
        <v>92.0041274768622</v>
      </c>
      <c r="Y28" s="18">
        <v>4.08885687478331</v>
      </c>
      <c r="Z28" s="3">
        <v>0.148800237078873</v>
      </c>
    </row>
    <row r="29" spans="2:26">
      <c r="B29" s="1">
        <v>60</v>
      </c>
      <c r="C29" s="1">
        <v>9.6</v>
      </c>
      <c r="D29" s="1">
        <v>8</v>
      </c>
      <c r="E29" s="1">
        <v>0</v>
      </c>
      <c r="F29" s="2">
        <v>0</v>
      </c>
      <c r="G29" s="1">
        <v>20</v>
      </c>
      <c r="H29" s="3">
        <v>0.868253123396246</v>
      </c>
      <c r="I29" s="4">
        <v>55.4</v>
      </c>
      <c r="J29" s="1">
        <v>27.1</v>
      </c>
      <c r="K29" s="7">
        <v>93.8170774933375</v>
      </c>
      <c r="L29" s="8">
        <v>4.20919495056871</v>
      </c>
      <c r="M29" s="9">
        <v>0.132822035992199</v>
      </c>
      <c r="O29" s="1">
        <v>60</v>
      </c>
      <c r="P29" s="1">
        <v>9.6</v>
      </c>
      <c r="Q29" s="1">
        <v>8</v>
      </c>
      <c r="R29" s="1">
        <v>0</v>
      </c>
      <c r="S29" s="2">
        <v>0</v>
      </c>
      <c r="T29" s="1">
        <v>20</v>
      </c>
      <c r="U29" s="17">
        <v>0.868253123396246</v>
      </c>
      <c r="V29" s="4">
        <v>55.4</v>
      </c>
      <c r="W29" s="1">
        <v>27.1</v>
      </c>
      <c r="X29" s="8">
        <v>93.8170774933375</v>
      </c>
      <c r="Y29" s="18">
        <v>4.20919495056871</v>
      </c>
      <c r="Z29" s="3">
        <v>0.132822035992199</v>
      </c>
    </row>
    <row r="30" spans="2:26">
      <c r="B30" s="1">
        <v>50</v>
      </c>
      <c r="C30" s="1">
        <v>4.8</v>
      </c>
      <c r="D30" s="1">
        <v>8</v>
      </c>
      <c r="E30" s="1">
        <v>0</v>
      </c>
      <c r="F30" s="2">
        <v>0</v>
      </c>
      <c r="G30" s="1">
        <v>20</v>
      </c>
      <c r="H30" s="3">
        <v>0.920818198615511</v>
      </c>
      <c r="I30" s="4">
        <v>45</v>
      </c>
      <c r="J30" s="1">
        <v>15.8</v>
      </c>
      <c r="K30" s="7">
        <v>37.7231029702711</v>
      </c>
      <c r="L30" s="8">
        <v>1.97569114389788</v>
      </c>
      <c r="M30" s="9">
        <v>0.190070396288219</v>
      </c>
      <c r="O30" s="1">
        <v>50</v>
      </c>
      <c r="P30" s="1">
        <v>4.8</v>
      </c>
      <c r="Q30" s="1">
        <v>8</v>
      </c>
      <c r="R30" s="1">
        <v>0</v>
      </c>
      <c r="S30" s="2">
        <v>0</v>
      </c>
      <c r="T30" s="1">
        <v>20</v>
      </c>
      <c r="U30" s="17">
        <v>0.920818198615511</v>
      </c>
      <c r="V30" s="4">
        <v>45</v>
      </c>
      <c r="W30" s="1">
        <v>15.8</v>
      </c>
      <c r="X30" s="8">
        <v>37.7231029702711</v>
      </c>
      <c r="Y30" s="18">
        <v>1.97569114389788</v>
      </c>
      <c r="Z30" s="3">
        <v>0.190070396288219</v>
      </c>
    </row>
    <row r="31" spans="2:26">
      <c r="B31" s="1">
        <v>50</v>
      </c>
      <c r="C31" s="1">
        <v>5.6</v>
      </c>
      <c r="D31" s="1">
        <v>8</v>
      </c>
      <c r="E31" s="1">
        <v>0</v>
      </c>
      <c r="F31" s="2">
        <v>0</v>
      </c>
      <c r="G31" s="1">
        <v>20</v>
      </c>
      <c r="H31" s="3">
        <v>0.920818198615511</v>
      </c>
      <c r="I31" s="4">
        <v>45.4</v>
      </c>
      <c r="J31" s="1">
        <v>16.9</v>
      </c>
      <c r="K31" s="7">
        <v>40.4820599470632</v>
      </c>
      <c r="L31" s="8">
        <v>2.17924125632362</v>
      </c>
      <c r="M31" s="9">
        <v>0.173019652881651</v>
      </c>
      <c r="O31" s="1">
        <v>50</v>
      </c>
      <c r="P31" s="1">
        <v>5.6</v>
      </c>
      <c r="Q31" s="1">
        <v>8</v>
      </c>
      <c r="R31" s="1">
        <v>0</v>
      </c>
      <c r="S31" s="2">
        <v>0</v>
      </c>
      <c r="T31" s="1">
        <v>20</v>
      </c>
      <c r="U31" s="17">
        <v>0.920818198615511</v>
      </c>
      <c r="V31" s="4">
        <v>45.4</v>
      </c>
      <c r="W31" s="1">
        <v>16.9</v>
      </c>
      <c r="X31" s="8">
        <v>40.4820599470632</v>
      </c>
      <c r="Y31" s="18">
        <v>2.17924125632362</v>
      </c>
      <c r="Z31" s="3">
        <v>0.173019652881651</v>
      </c>
    </row>
    <row r="32" spans="2:26">
      <c r="B32" s="1">
        <v>50</v>
      </c>
      <c r="C32" s="1">
        <v>6.4</v>
      </c>
      <c r="D32" s="1">
        <v>8</v>
      </c>
      <c r="E32" s="1">
        <v>0</v>
      </c>
      <c r="F32" s="2">
        <v>0</v>
      </c>
      <c r="G32" s="1">
        <v>20</v>
      </c>
      <c r="H32" s="3">
        <v>0.920818198615511</v>
      </c>
      <c r="I32" s="4">
        <v>45.6</v>
      </c>
      <c r="J32" s="1">
        <v>17.7</v>
      </c>
      <c r="K32" s="7">
        <v>43.4217598162789</v>
      </c>
      <c r="L32" s="8">
        <v>2.39307141821073</v>
      </c>
      <c r="M32" s="9">
        <v>0.157822388169999</v>
      </c>
      <c r="O32" s="1">
        <v>50</v>
      </c>
      <c r="P32" s="1">
        <v>6.4</v>
      </c>
      <c r="Q32" s="1">
        <v>8</v>
      </c>
      <c r="R32" s="1">
        <v>0</v>
      </c>
      <c r="S32" s="2">
        <v>0</v>
      </c>
      <c r="T32" s="1">
        <v>20</v>
      </c>
      <c r="U32" s="17">
        <v>0.920818198615511</v>
      </c>
      <c r="V32" s="4">
        <v>45.6</v>
      </c>
      <c r="W32" s="1">
        <v>17.7</v>
      </c>
      <c r="X32" s="8">
        <v>43.4217598162789</v>
      </c>
      <c r="Y32" s="18">
        <v>2.39307141821073</v>
      </c>
      <c r="Z32" s="3">
        <v>0.157822388169999</v>
      </c>
    </row>
    <row r="33" spans="2:26">
      <c r="B33" s="1">
        <v>50</v>
      </c>
      <c r="C33" s="1">
        <v>7.2</v>
      </c>
      <c r="D33" s="1">
        <v>8</v>
      </c>
      <c r="E33" s="1">
        <v>0</v>
      </c>
      <c r="F33" s="2">
        <v>0</v>
      </c>
      <c r="G33" s="1">
        <v>20</v>
      </c>
      <c r="H33" s="3">
        <v>0.920818198615511</v>
      </c>
      <c r="I33" s="4">
        <v>45.9</v>
      </c>
      <c r="J33" s="1">
        <v>18.4</v>
      </c>
      <c r="K33" s="7">
        <v>45.4480980014432</v>
      </c>
      <c r="L33" s="8">
        <v>2.55284150078246</v>
      </c>
      <c r="M33" s="9">
        <v>0.145327159301739</v>
      </c>
      <c r="O33" s="1">
        <v>50</v>
      </c>
      <c r="P33" s="1">
        <v>7.2</v>
      </c>
      <c r="Q33" s="1">
        <v>8</v>
      </c>
      <c r="R33" s="1">
        <v>0</v>
      </c>
      <c r="S33" s="2">
        <v>0</v>
      </c>
      <c r="T33" s="1">
        <v>20</v>
      </c>
      <c r="U33" s="17">
        <v>0.920818198615511</v>
      </c>
      <c r="V33" s="4">
        <v>45.9</v>
      </c>
      <c r="W33" s="1">
        <v>18.4</v>
      </c>
      <c r="X33" s="8">
        <v>45.4480980014432</v>
      </c>
      <c r="Y33" s="18">
        <v>2.55284150078246</v>
      </c>
      <c r="Z33" s="3">
        <v>0.145327159301739</v>
      </c>
    </row>
    <row r="34" spans="2:26">
      <c r="B34" s="1">
        <v>50</v>
      </c>
      <c r="C34" s="1">
        <v>8</v>
      </c>
      <c r="D34" s="1">
        <v>8</v>
      </c>
      <c r="E34" s="1">
        <v>0</v>
      </c>
      <c r="F34" s="2">
        <v>0</v>
      </c>
      <c r="G34" s="1">
        <v>20</v>
      </c>
      <c r="H34" s="3">
        <v>0.920818198615511</v>
      </c>
      <c r="I34" s="4">
        <v>46.1</v>
      </c>
      <c r="J34" s="1">
        <v>19.2</v>
      </c>
      <c r="K34" s="7">
        <v>47.8064567294992</v>
      </c>
      <c r="L34" s="8">
        <v>2.75711765762985</v>
      </c>
      <c r="M34" s="9">
        <v>0.135960074302437</v>
      </c>
      <c r="O34" s="1">
        <v>50</v>
      </c>
      <c r="P34" s="1">
        <v>8</v>
      </c>
      <c r="Q34" s="1">
        <v>8</v>
      </c>
      <c r="R34" s="1">
        <v>0</v>
      </c>
      <c r="S34" s="2">
        <v>0</v>
      </c>
      <c r="T34" s="1">
        <v>20</v>
      </c>
      <c r="U34" s="17">
        <v>0.920818198615511</v>
      </c>
      <c r="V34" s="4">
        <v>46.1</v>
      </c>
      <c r="W34" s="1">
        <v>19.2</v>
      </c>
      <c r="X34" s="8">
        <v>47.8064567294992</v>
      </c>
      <c r="Y34" s="18">
        <v>2.75711765762985</v>
      </c>
      <c r="Z34" s="3">
        <v>0.135960074302437</v>
      </c>
    </row>
    <row r="35" spans="2:26">
      <c r="B35" s="1">
        <v>50</v>
      </c>
      <c r="C35" s="1">
        <v>8.8</v>
      </c>
      <c r="D35" s="1">
        <v>8</v>
      </c>
      <c r="E35" s="1">
        <v>0</v>
      </c>
      <c r="F35" s="2">
        <v>0</v>
      </c>
      <c r="G35" s="1">
        <v>20</v>
      </c>
      <c r="H35" s="3">
        <v>0.920818198615511</v>
      </c>
      <c r="I35" s="4">
        <v>46.3</v>
      </c>
      <c r="J35" s="1">
        <v>19.9</v>
      </c>
      <c r="K35" s="7">
        <v>49.8032489389402</v>
      </c>
      <c r="L35" s="8">
        <v>2.9421838522971</v>
      </c>
      <c r="M35" s="9">
        <v>0.127719482347958</v>
      </c>
      <c r="O35" s="1">
        <v>50</v>
      </c>
      <c r="P35" s="1">
        <v>8.8</v>
      </c>
      <c r="Q35" s="1">
        <v>8</v>
      </c>
      <c r="R35" s="1">
        <v>0</v>
      </c>
      <c r="S35" s="2">
        <v>0</v>
      </c>
      <c r="T35" s="1">
        <v>20</v>
      </c>
      <c r="U35" s="17">
        <v>0.920818198615511</v>
      </c>
      <c r="V35" s="4">
        <v>46.3</v>
      </c>
      <c r="W35" s="1">
        <v>19.9</v>
      </c>
      <c r="X35" s="8">
        <v>49.8032489389402</v>
      </c>
      <c r="Y35" s="18">
        <v>2.9421838522971</v>
      </c>
      <c r="Z35" s="3">
        <v>0.127719482347958</v>
      </c>
    </row>
    <row r="36" spans="2:26">
      <c r="B36" s="1">
        <v>50</v>
      </c>
      <c r="C36" s="1">
        <v>9.6</v>
      </c>
      <c r="D36" s="1">
        <v>8</v>
      </c>
      <c r="E36" s="1">
        <v>0</v>
      </c>
      <c r="F36" s="2">
        <v>0</v>
      </c>
      <c r="G36" s="1">
        <v>20</v>
      </c>
      <c r="H36" s="3">
        <v>0.920818198615511</v>
      </c>
      <c r="I36" s="4">
        <v>46.5</v>
      </c>
      <c r="J36" s="1">
        <v>20.3</v>
      </c>
      <c r="K36" s="7">
        <v>51.2387021306303</v>
      </c>
      <c r="L36" s="8">
        <v>3.06522984296682</v>
      </c>
      <c r="M36" s="9">
        <v>0.119251452613717</v>
      </c>
      <c r="O36" s="1">
        <v>50</v>
      </c>
      <c r="P36" s="1">
        <v>9.6</v>
      </c>
      <c r="Q36" s="1">
        <v>8</v>
      </c>
      <c r="R36" s="1">
        <v>0</v>
      </c>
      <c r="S36" s="2">
        <v>0</v>
      </c>
      <c r="T36" s="1">
        <v>20</v>
      </c>
      <c r="U36" s="17">
        <v>0.920818198615511</v>
      </c>
      <c r="V36" s="4">
        <v>46.5</v>
      </c>
      <c r="W36" s="1">
        <v>20.3</v>
      </c>
      <c r="X36" s="8">
        <v>51.2387021306303</v>
      </c>
      <c r="Y36" s="18">
        <v>3.06522984296682</v>
      </c>
      <c r="Z36" s="3">
        <v>0.119251452613717</v>
      </c>
    </row>
    <row r="37" spans="2:26">
      <c r="B37" s="1">
        <v>55</v>
      </c>
      <c r="C37" s="1">
        <v>4.8</v>
      </c>
      <c r="D37" s="1">
        <v>8</v>
      </c>
      <c r="E37" s="1">
        <v>0</v>
      </c>
      <c r="F37" s="2">
        <v>0</v>
      </c>
      <c r="G37" s="1">
        <v>20</v>
      </c>
      <c r="H37" s="3">
        <v>0.89760467536325</v>
      </c>
      <c r="I37" s="4">
        <v>50.5</v>
      </c>
      <c r="J37" s="1">
        <v>16.4</v>
      </c>
      <c r="K37" s="7">
        <v>40.8234013671467</v>
      </c>
      <c r="L37" s="8">
        <v>1.69662434433904</v>
      </c>
      <c r="M37" s="9">
        <v>0.161075605242221</v>
      </c>
      <c r="O37" s="1">
        <v>55</v>
      </c>
      <c r="P37" s="1">
        <v>4.8</v>
      </c>
      <c r="Q37" s="1">
        <v>8</v>
      </c>
      <c r="R37" s="1">
        <v>0</v>
      </c>
      <c r="S37" s="2">
        <v>0</v>
      </c>
      <c r="T37" s="1">
        <v>20</v>
      </c>
      <c r="U37" s="17">
        <v>0.89760467536325</v>
      </c>
      <c r="V37" s="4">
        <v>50.5</v>
      </c>
      <c r="W37" s="1">
        <v>16.4</v>
      </c>
      <c r="X37" s="8">
        <v>40.8234013671467</v>
      </c>
      <c r="Y37" s="18">
        <v>1.69662434433904</v>
      </c>
      <c r="Z37" s="3">
        <v>0.161075605242221</v>
      </c>
    </row>
    <row r="38" spans="2:26">
      <c r="B38" s="1">
        <v>55</v>
      </c>
      <c r="C38" s="1">
        <v>5.6</v>
      </c>
      <c r="D38" s="1">
        <v>8</v>
      </c>
      <c r="E38" s="1">
        <v>0</v>
      </c>
      <c r="F38" s="2">
        <v>0</v>
      </c>
      <c r="G38" s="1">
        <v>20</v>
      </c>
      <c r="H38" s="3">
        <v>0.89760467536325</v>
      </c>
      <c r="I38" s="4">
        <v>50.9</v>
      </c>
      <c r="J38" s="1">
        <v>17.8</v>
      </c>
      <c r="K38" s="7">
        <v>43.8615737753399</v>
      </c>
      <c r="L38" s="8">
        <v>1.87563230970394</v>
      </c>
      <c r="M38" s="9">
        <v>0.148609028635066</v>
      </c>
      <c r="O38" s="1">
        <v>55</v>
      </c>
      <c r="P38" s="1">
        <v>5.6</v>
      </c>
      <c r="Q38" s="1">
        <v>8</v>
      </c>
      <c r="R38" s="1">
        <v>0</v>
      </c>
      <c r="S38" s="2">
        <v>0</v>
      </c>
      <c r="T38" s="1">
        <v>20</v>
      </c>
      <c r="U38" s="17">
        <v>0.89760467536325</v>
      </c>
      <c r="V38" s="4">
        <v>50.9</v>
      </c>
      <c r="W38" s="1">
        <v>17.8</v>
      </c>
      <c r="X38" s="8">
        <v>43.8615737753399</v>
      </c>
      <c r="Y38" s="18">
        <v>1.87563230970394</v>
      </c>
      <c r="Z38" s="3">
        <v>0.148609028635066</v>
      </c>
    </row>
    <row r="39" spans="2:26">
      <c r="B39" s="1">
        <v>55</v>
      </c>
      <c r="C39" s="1">
        <v>6.4</v>
      </c>
      <c r="D39" s="1">
        <v>8</v>
      </c>
      <c r="E39" s="1">
        <v>0</v>
      </c>
      <c r="F39" s="2">
        <v>0</v>
      </c>
      <c r="G39" s="1">
        <v>20</v>
      </c>
      <c r="H39" s="3">
        <v>0.89760467536325</v>
      </c>
      <c r="I39" s="4">
        <v>51</v>
      </c>
      <c r="J39" s="1">
        <v>18.7</v>
      </c>
      <c r="K39" s="7">
        <v>47.6237207466995</v>
      </c>
      <c r="L39" s="8">
        <v>2.08255646406365</v>
      </c>
      <c r="M39" s="9">
        <v>0.135952170940051</v>
      </c>
      <c r="O39" s="1">
        <v>55</v>
      </c>
      <c r="P39" s="1">
        <v>6.4</v>
      </c>
      <c r="Q39" s="1">
        <v>8</v>
      </c>
      <c r="R39" s="1">
        <v>0</v>
      </c>
      <c r="S39" s="2">
        <v>0</v>
      </c>
      <c r="T39" s="1">
        <v>20</v>
      </c>
      <c r="U39" s="17">
        <v>0.89760467536325</v>
      </c>
      <c r="V39" s="4">
        <v>51</v>
      </c>
      <c r="W39" s="1">
        <v>18.7</v>
      </c>
      <c r="X39" s="8">
        <v>47.6237207466995</v>
      </c>
      <c r="Y39" s="18">
        <v>2.08255646406365</v>
      </c>
      <c r="Z39" s="3">
        <v>0.135952170940051</v>
      </c>
    </row>
    <row r="40" spans="2:26">
      <c r="B40" s="1">
        <v>55</v>
      </c>
      <c r="C40" s="1">
        <v>7.2</v>
      </c>
      <c r="D40" s="1">
        <v>8</v>
      </c>
      <c r="E40" s="1">
        <v>0</v>
      </c>
      <c r="F40" s="2">
        <v>0</v>
      </c>
      <c r="G40" s="1">
        <v>20</v>
      </c>
      <c r="H40" s="3">
        <v>0.89760467536325</v>
      </c>
      <c r="I40" s="4">
        <v>51.1</v>
      </c>
      <c r="J40" s="1">
        <v>19.6</v>
      </c>
      <c r="K40" s="7">
        <v>51.2295732342439</v>
      </c>
      <c r="L40" s="8">
        <v>2.29338911599463</v>
      </c>
      <c r="M40" s="9">
        <v>0.1261160707335</v>
      </c>
      <c r="O40" s="1">
        <v>55</v>
      </c>
      <c r="P40" s="1">
        <v>7.2</v>
      </c>
      <c r="Q40" s="1">
        <v>8</v>
      </c>
      <c r="R40" s="1">
        <v>0</v>
      </c>
      <c r="S40" s="2">
        <v>0</v>
      </c>
      <c r="T40" s="1">
        <v>20</v>
      </c>
      <c r="U40" s="17">
        <v>0.89760467536325</v>
      </c>
      <c r="V40" s="4">
        <v>51.1</v>
      </c>
      <c r="W40" s="1">
        <v>19.6</v>
      </c>
      <c r="X40" s="8">
        <v>51.2295732342439</v>
      </c>
      <c r="Y40" s="18">
        <v>2.29338911599463</v>
      </c>
      <c r="Z40" s="3">
        <v>0.1261160707335</v>
      </c>
    </row>
    <row r="41" spans="2:26">
      <c r="B41" s="1">
        <v>55</v>
      </c>
      <c r="C41" s="1">
        <v>8</v>
      </c>
      <c r="D41" s="1">
        <v>8</v>
      </c>
      <c r="E41" s="1">
        <v>0</v>
      </c>
      <c r="F41" s="2">
        <v>0</v>
      </c>
      <c r="G41" s="1">
        <v>20</v>
      </c>
      <c r="H41" s="3">
        <v>0.89760467536325</v>
      </c>
      <c r="I41" s="4">
        <v>51.3</v>
      </c>
      <c r="J41" s="1">
        <v>20.5</v>
      </c>
      <c r="K41" s="7">
        <v>53.8961268107919</v>
      </c>
      <c r="L41" s="8">
        <v>2.46853708052874</v>
      </c>
      <c r="M41" s="9">
        <v>0.11826940521043</v>
      </c>
      <c r="O41" s="1">
        <v>55</v>
      </c>
      <c r="P41" s="1">
        <v>8</v>
      </c>
      <c r="Q41" s="1">
        <v>8</v>
      </c>
      <c r="R41" s="1">
        <v>0</v>
      </c>
      <c r="S41" s="2">
        <v>0</v>
      </c>
      <c r="T41" s="1">
        <v>20</v>
      </c>
      <c r="U41" s="17">
        <v>0.89760467536325</v>
      </c>
      <c r="V41" s="4">
        <v>51.3</v>
      </c>
      <c r="W41" s="1">
        <v>20.5</v>
      </c>
      <c r="X41" s="8">
        <v>53.8961268107919</v>
      </c>
      <c r="Y41" s="18">
        <v>2.46853708052874</v>
      </c>
      <c r="Z41" s="3">
        <v>0.11826940521043</v>
      </c>
    </row>
    <row r="42" spans="2:26">
      <c r="B42" s="1">
        <v>55</v>
      </c>
      <c r="C42" s="1">
        <v>8.8</v>
      </c>
      <c r="D42" s="1">
        <v>8</v>
      </c>
      <c r="E42" s="1">
        <v>0</v>
      </c>
      <c r="F42" s="2">
        <v>0</v>
      </c>
      <c r="G42" s="1">
        <v>20</v>
      </c>
      <c r="H42" s="3">
        <v>0.89760467536325</v>
      </c>
      <c r="I42" s="4">
        <v>51.6</v>
      </c>
      <c r="J42" s="1">
        <v>21.2</v>
      </c>
      <c r="K42" s="7">
        <v>55.1656814102232</v>
      </c>
      <c r="L42" s="8">
        <v>2.56764798940325</v>
      </c>
      <c r="M42" s="9">
        <v>0.110912806445803</v>
      </c>
      <c r="O42" s="1">
        <v>55</v>
      </c>
      <c r="P42" s="1">
        <v>8.8</v>
      </c>
      <c r="Q42" s="1">
        <v>8</v>
      </c>
      <c r="R42" s="1">
        <v>0</v>
      </c>
      <c r="S42" s="2">
        <v>0</v>
      </c>
      <c r="T42" s="1">
        <v>20</v>
      </c>
      <c r="U42" s="17">
        <v>0.89760467536325</v>
      </c>
      <c r="V42" s="4">
        <v>51.6</v>
      </c>
      <c r="W42" s="1">
        <v>21.2</v>
      </c>
      <c r="X42" s="8">
        <v>55.1656814102232</v>
      </c>
      <c r="Y42" s="18">
        <v>2.56764798940325</v>
      </c>
      <c r="Z42" s="3">
        <v>0.110912806445803</v>
      </c>
    </row>
    <row r="43" spans="2:26">
      <c r="B43" s="1">
        <v>55</v>
      </c>
      <c r="C43" s="1">
        <v>9.6</v>
      </c>
      <c r="D43" s="1">
        <v>8</v>
      </c>
      <c r="E43" s="1">
        <v>0</v>
      </c>
      <c r="F43" s="2">
        <v>0</v>
      </c>
      <c r="G43" s="1">
        <v>20</v>
      </c>
      <c r="H43" s="3">
        <v>0.89760467536325</v>
      </c>
      <c r="I43" s="4">
        <v>51.8</v>
      </c>
      <c r="J43" s="1">
        <v>21.6</v>
      </c>
      <c r="K43" s="7">
        <v>56.5912651490846</v>
      </c>
      <c r="L43" s="8">
        <v>2.65797971895658</v>
      </c>
      <c r="M43" s="9">
        <v>0.103453549351467</v>
      </c>
      <c r="O43" s="1">
        <v>55</v>
      </c>
      <c r="P43" s="1">
        <v>9.6</v>
      </c>
      <c r="Q43" s="1">
        <v>8</v>
      </c>
      <c r="R43" s="1">
        <v>0</v>
      </c>
      <c r="S43" s="2">
        <v>0</v>
      </c>
      <c r="T43" s="1">
        <v>20</v>
      </c>
      <c r="U43" s="17">
        <v>0.89760467536325</v>
      </c>
      <c r="V43" s="4">
        <v>51.8</v>
      </c>
      <c r="W43" s="1">
        <v>21.6</v>
      </c>
      <c r="X43" s="8">
        <v>56.5912651490846</v>
      </c>
      <c r="Y43" s="18">
        <v>2.65797971895658</v>
      </c>
      <c r="Z43" s="3">
        <v>0.103453549351467</v>
      </c>
    </row>
    <row r="44" spans="2:26">
      <c r="B44" s="1">
        <v>60</v>
      </c>
      <c r="C44" s="1">
        <v>4.8</v>
      </c>
      <c r="D44" s="1">
        <v>8</v>
      </c>
      <c r="E44" s="1">
        <v>0</v>
      </c>
      <c r="F44" s="2">
        <v>0</v>
      </c>
      <c r="G44" s="1">
        <v>20</v>
      </c>
      <c r="H44" s="3">
        <v>0.868253123396246</v>
      </c>
      <c r="I44" s="4">
        <v>55.4</v>
      </c>
      <c r="J44" s="1">
        <v>20.6</v>
      </c>
      <c r="K44" s="7">
        <v>50.9758334822063</v>
      </c>
      <c r="L44" s="8">
        <v>1.91617761107754</v>
      </c>
      <c r="M44" s="9">
        <v>0.162777041424966</v>
      </c>
      <c r="O44" s="1">
        <v>60</v>
      </c>
      <c r="P44" s="1">
        <v>4.8</v>
      </c>
      <c r="Q44" s="1">
        <v>8</v>
      </c>
      <c r="R44" s="1">
        <v>0</v>
      </c>
      <c r="S44" s="2">
        <v>0</v>
      </c>
      <c r="T44" s="1">
        <v>20</v>
      </c>
      <c r="U44" s="17">
        <v>0.868253123396246</v>
      </c>
      <c r="V44" s="4">
        <v>55.4</v>
      </c>
      <c r="W44" s="1">
        <v>20.6</v>
      </c>
      <c r="X44" s="8">
        <v>50.9758334822063</v>
      </c>
      <c r="Y44" s="18">
        <v>1.91617761107754</v>
      </c>
      <c r="Z44" s="3">
        <v>0.162777041424966</v>
      </c>
    </row>
    <row r="45" spans="2:26">
      <c r="B45" s="1">
        <v>60</v>
      </c>
      <c r="C45" s="1">
        <v>5.6</v>
      </c>
      <c r="D45" s="1">
        <v>8</v>
      </c>
      <c r="E45" s="1">
        <v>0</v>
      </c>
      <c r="F45" s="2">
        <v>0</v>
      </c>
      <c r="G45" s="1">
        <v>20</v>
      </c>
      <c r="H45" s="3">
        <v>0.868253123396246</v>
      </c>
      <c r="I45" s="4">
        <v>55.8</v>
      </c>
      <c r="J45" s="1">
        <v>22.4</v>
      </c>
      <c r="K45" s="7">
        <v>54.9395037082108</v>
      </c>
      <c r="L45" s="8">
        <v>2.14339226340517</v>
      </c>
      <c r="M45" s="9">
        <v>0.150716781640657</v>
      </c>
      <c r="O45" s="1">
        <v>60</v>
      </c>
      <c r="P45" s="1">
        <v>5.6</v>
      </c>
      <c r="Q45" s="1">
        <v>8</v>
      </c>
      <c r="R45" s="1">
        <v>0</v>
      </c>
      <c r="S45" s="2">
        <v>0</v>
      </c>
      <c r="T45" s="1">
        <v>20</v>
      </c>
      <c r="U45" s="17">
        <v>0.868253123396246</v>
      </c>
      <c r="V45" s="4">
        <v>55.8</v>
      </c>
      <c r="W45" s="1">
        <v>22.4</v>
      </c>
      <c r="X45" s="8">
        <v>54.9395037082108</v>
      </c>
      <c r="Y45" s="18">
        <v>2.14339226340517</v>
      </c>
      <c r="Z45" s="3">
        <v>0.150716781640657</v>
      </c>
    </row>
    <row r="46" spans="2:26">
      <c r="B46" s="1">
        <v>60</v>
      </c>
      <c r="C46" s="1">
        <v>6.4</v>
      </c>
      <c r="D46" s="1">
        <v>8</v>
      </c>
      <c r="E46" s="1">
        <v>0</v>
      </c>
      <c r="F46" s="2">
        <v>0</v>
      </c>
      <c r="G46" s="1">
        <v>20</v>
      </c>
      <c r="H46" s="3">
        <v>0.868253123396246</v>
      </c>
      <c r="I46" s="4">
        <v>56.3</v>
      </c>
      <c r="J46" s="1">
        <v>24.1</v>
      </c>
      <c r="K46" s="7">
        <v>57.2194145273457</v>
      </c>
      <c r="L46" s="8">
        <v>2.31541904013323</v>
      </c>
      <c r="M46" s="9">
        <v>0.141130855931084</v>
      </c>
      <c r="O46" s="1">
        <v>60</v>
      </c>
      <c r="P46" s="1">
        <v>6.4</v>
      </c>
      <c r="Q46" s="1">
        <v>8</v>
      </c>
      <c r="R46" s="1">
        <v>0</v>
      </c>
      <c r="S46" s="2">
        <v>0</v>
      </c>
      <c r="T46" s="1">
        <v>20</v>
      </c>
      <c r="U46" s="17">
        <v>0.868253123396246</v>
      </c>
      <c r="V46" s="4">
        <v>56.3</v>
      </c>
      <c r="W46" s="1">
        <v>24.1</v>
      </c>
      <c r="X46" s="8">
        <v>57.2194145273457</v>
      </c>
      <c r="Y46" s="18">
        <v>2.31541904013323</v>
      </c>
      <c r="Z46" s="3">
        <v>0.141130855931084</v>
      </c>
    </row>
    <row r="47" spans="2:26">
      <c r="B47" s="1">
        <v>60</v>
      </c>
      <c r="C47" s="1">
        <v>7.2</v>
      </c>
      <c r="D47" s="1">
        <v>8</v>
      </c>
      <c r="E47" s="1">
        <v>0</v>
      </c>
      <c r="F47" s="2">
        <v>0</v>
      </c>
      <c r="G47" s="1">
        <v>20</v>
      </c>
      <c r="H47" s="3">
        <v>0.868253123396246</v>
      </c>
      <c r="I47" s="4">
        <v>56.9</v>
      </c>
      <c r="J47" s="1">
        <v>25.2</v>
      </c>
      <c r="K47" s="7">
        <v>56.9435172455035</v>
      </c>
      <c r="L47" s="8">
        <v>2.35396865810214</v>
      </c>
      <c r="M47" s="9">
        <v>0.130804865547121</v>
      </c>
      <c r="O47" s="1">
        <v>60</v>
      </c>
      <c r="P47" s="1">
        <v>7.2</v>
      </c>
      <c r="Q47" s="1">
        <v>8</v>
      </c>
      <c r="R47" s="1">
        <v>0</v>
      </c>
      <c r="S47" s="2">
        <v>0</v>
      </c>
      <c r="T47" s="1">
        <v>20</v>
      </c>
      <c r="U47" s="17">
        <v>0.868253123396246</v>
      </c>
      <c r="V47" s="4">
        <v>56.9</v>
      </c>
      <c r="W47" s="1">
        <v>25.2</v>
      </c>
      <c r="X47" s="8">
        <v>56.9435172455035</v>
      </c>
      <c r="Y47" s="18">
        <v>2.35396865810214</v>
      </c>
      <c r="Z47" s="3">
        <v>0.130804865547121</v>
      </c>
    </row>
    <row r="48" spans="2:26">
      <c r="B48" s="1">
        <v>60</v>
      </c>
      <c r="C48" s="1">
        <v>8</v>
      </c>
      <c r="D48" s="1">
        <v>8</v>
      </c>
      <c r="E48" s="1">
        <v>0</v>
      </c>
      <c r="F48" s="2">
        <v>0</v>
      </c>
      <c r="G48" s="1">
        <v>20</v>
      </c>
      <c r="H48" s="3">
        <v>0.868253123396246</v>
      </c>
      <c r="I48" s="4">
        <v>57.1</v>
      </c>
      <c r="J48" s="1">
        <v>25.9</v>
      </c>
      <c r="K48" s="7">
        <v>58.9845692795061</v>
      </c>
      <c r="L48" s="8">
        <v>2.48105042746839</v>
      </c>
      <c r="M48" s="9">
        <v>0.120748471219359</v>
      </c>
      <c r="O48" s="1">
        <v>60</v>
      </c>
      <c r="P48" s="1">
        <v>8</v>
      </c>
      <c r="Q48" s="1">
        <v>8</v>
      </c>
      <c r="R48" s="1">
        <v>0</v>
      </c>
      <c r="S48" s="2">
        <v>0</v>
      </c>
      <c r="T48" s="1">
        <v>20</v>
      </c>
      <c r="U48" s="17">
        <v>0.868253123396246</v>
      </c>
      <c r="V48" s="4">
        <v>57.1</v>
      </c>
      <c r="W48" s="1">
        <v>25.9</v>
      </c>
      <c r="X48" s="8">
        <v>58.9845692795061</v>
      </c>
      <c r="Y48" s="18">
        <v>2.48105042746839</v>
      </c>
      <c r="Z48" s="3">
        <v>0.120748471219359</v>
      </c>
    </row>
    <row r="49" spans="2:26">
      <c r="B49" s="1">
        <v>60</v>
      </c>
      <c r="C49" s="1">
        <v>8.8</v>
      </c>
      <c r="D49" s="1">
        <v>8</v>
      </c>
      <c r="E49" s="1">
        <v>0</v>
      </c>
      <c r="F49" s="2">
        <v>0</v>
      </c>
      <c r="G49" s="1">
        <v>20</v>
      </c>
      <c r="H49" s="3">
        <v>0.868253123396246</v>
      </c>
      <c r="I49" s="4">
        <v>57.2</v>
      </c>
      <c r="J49" s="1">
        <v>26.5</v>
      </c>
      <c r="K49" s="7">
        <v>61.6203543354186</v>
      </c>
      <c r="L49" s="8">
        <v>2.63542475164873</v>
      </c>
      <c r="M49" s="9">
        <v>0.112107309159905</v>
      </c>
      <c r="O49" s="1">
        <v>60</v>
      </c>
      <c r="P49" s="1">
        <v>8.8</v>
      </c>
      <c r="Q49" s="1">
        <v>8</v>
      </c>
      <c r="R49" s="1">
        <v>0</v>
      </c>
      <c r="S49" s="2">
        <v>0</v>
      </c>
      <c r="T49" s="1">
        <v>20</v>
      </c>
      <c r="U49" s="17">
        <v>0.868253123396246</v>
      </c>
      <c r="V49" s="4">
        <v>57.2</v>
      </c>
      <c r="W49" s="1">
        <v>26.5</v>
      </c>
      <c r="X49" s="8">
        <v>61.6203543354186</v>
      </c>
      <c r="Y49" s="18">
        <v>2.63542475164873</v>
      </c>
      <c r="Z49" s="3">
        <v>0.112107309159905</v>
      </c>
    </row>
    <row r="50" spans="2:26">
      <c r="B50" s="1">
        <v>60</v>
      </c>
      <c r="C50" s="1">
        <v>9.6</v>
      </c>
      <c r="D50" s="1">
        <v>8</v>
      </c>
      <c r="E50" s="1">
        <v>0</v>
      </c>
      <c r="F50" s="2">
        <v>0</v>
      </c>
      <c r="G50" s="1">
        <v>20</v>
      </c>
      <c r="H50" s="3">
        <v>0.868253123396246</v>
      </c>
      <c r="I50" s="4">
        <v>57.3</v>
      </c>
      <c r="J50" s="1">
        <v>26.9</v>
      </c>
      <c r="K50" s="7">
        <v>63.8538543902531</v>
      </c>
      <c r="L50" s="8">
        <v>2.76096967640344</v>
      </c>
      <c r="M50" s="9">
        <v>0.104193031882553</v>
      </c>
      <c r="O50" s="1">
        <v>60</v>
      </c>
      <c r="P50" s="1">
        <v>9.6</v>
      </c>
      <c r="Q50" s="1">
        <v>8</v>
      </c>
      <c r="R50" s="1">
        <v>0</v>
      </c>
      <c r="S50" s="2">
        <v>0</v>
      </c>
      <c r="T50" s="1">
        <v>20</v>
      </c>
      <c r="U50" s="17">
        <v>0.868253123396246</v>
      </c>
      <c r="V50" s="4">
        <v>57.3</v>
      </c>
      <c r="W50" s="1">
        <v>26.9</v>
      </c>
      <c r="X50" s="8">
        <v>63.8538543902531</v>
      </c>
      <c r="Y50" s="18">
        <v>2.76096967640344</v>
      </c>
      <c r="Z50" s="3">
        <v>0.104193031882553</v>
      </c>
    </row>
    <row r="51" spans="2:26">
      <c r="B51" s="1">
        <v>65</v>
      </c>
      <c r="C51" s="1">
        <v>4.4</v>
      </c>
      <c r="D51" s="1">
        <v>8</v>
      </c>
      <c r="E51" s="1">
        <v>0</v>
      </c>
      <c r="F51" s="2">
        <v>0</v>
      </c>
      <c r="G51" s="1">
        <v>20</v>
      </c>
      <c r="H51" s="3">
        <v>0.831152647810126</v>
      </c>
      <c r="I51" s="4">
        <v>59.8</v>
      </c>
      <c r="J51" s="1">
        <v>23.5</v>
      </c>
      <c r="K51" s="7">
        <v>61.7009559198707</v>
      </c>
      <c r="L51" s="8">
        <v>2.07630115078636</v>
      </c>
      <c r="M51" s="9">
        <v>0.165513389365099</v>
      </c>
      <c r="O51" s="1">
        <v>65</v>
      </c>
      <c r="P51" s="1">
        <v>4.4</v>
      </c>
      <c r="Q51" s="1">
        <v>8</v>
      </c>
      <c r="R51" s="1">
        <v>0</v>
      </c>
      <c r="S51" s="2">
        <v>0</v>
      </c>
      <c r="T51" s="1">
        <v>20</v>
      </c>
      <c r="U51" s="17">
        <v>0.831152647810126</v>
      </c>
      <c r="V51" s="4">
        <v>59.8</v>
      </c>
      <c r="W51" s="1">
        <v>23.5</v>
      </c>
      <c r="X51" s="8">
        <v>61.7009559198707</v>
      </c>
      <c r="Y51" s="18">
        <v>2.07630115078636</v>
      </c>
      <c r="Z51" s="3">
        <v>0.165513389365099</v>
      </c>
    </row>
    <row r="52" spans="2:26">
      <c r="B52" s="1">
        <v>65</v>
      </c>
      <c r="C52" s="1">
        <v>4.8</v>
      </c>
      <c r="D52" s="1">
        <v>8</v>
      </c>
      <c r="E52" s="1">
        <v>0</v>
      </c>
      <c r="F52" s="2">
        <v>0</v>
      </c>
      <c r="G52" s="1">
        <v>20</v>
      </c>
      <c r="H52" s="3">
        <v>0.831152647810126</v>
      </c>
      <c r="I52" s="4">
        <v>60.1</v>
      </c>
      <c r="J52" s="1">
        <v>24.7</v>
      </c>
      <c r="K52" s="7">
        <v>64.2106986464707</v>
      </c>
      <c r="L52" s="8">
        <v>2.2076658050744</v>
      </c>
      <c r="M52" s="9">
        <v>0.158879653438117</v>
      </c>
      <c r="O52" s="1">
        <v>65</v>
      </c>
      <c r="P52" s="1">
        <v>4.8</v>
      </c>
      <c r="Q52" s="1">
        <v>8</v>
      </c>
      <c r="R52" s="1">
        <v>0</v>
      </c>
      <c r="S52" s="2">
        <v>0</v>
      </c>
      <c r="T52" s="1">
        <v>20</v>
      </c>
      <c r="U52" s="17">
        <v>0.831152647810126</v>
      </c>
      <c r="V52" s="4">
        <v>60.1</v>
      </c>
      <c r="W52" s="1">
        <v>24.7</v>
      </c>
      <c r="X52" s="8">
        <v>64.2106986464707</v>
      </c>
      <c r="Y52" s="18">
        <v>2.2076658050744</v>
      </c>
      <c r="Z52" s="3">
        <v>0.158879653438117</v>
      </c>
    </row>
    <row r="53" spans="2:26">
      <c r="B53" s="1">
        <v>65</v>
      </c>
      <c r="C53" s="1">
        <v>5.6</v>
      </c>
      <c r="D53" s="1">
        <v>8</v>
      </c>
      <c r="E53" s="1">
        <v>0</v>
      </c>
      <c r="F53" s="2">
        <v>0</v>
      </c>
      <c r="G53" s="1">
        <v>20</v>
      </c>
      <c r="H53" s="3">
        <v>0.831152647810126</v>
      </c>
      <c r="I53" s="4">
        <v>60.5</v>
      </c>
      <c r="J53" s="1">
        <v>27.2</v>
      </c>
      <c r="K53" s="7">
        <v>69.7956373695506</v>
      </c>
      <c r="L53" s="8">
        <v>2.52771977708431</v>
      </c>
      <c r="M53" s="9">
        <v>0.148807567956061</v>
      </c>
      <c r="O53" s="1">
        <v>65</v>
      </c>
      <c r="P53" s="1">
        <v>5.6</v>
      </c>
      <c r="Q53" s="1">
        <v>8</v>
      </c>
      <c r="R53" s="1">
        <v>0</v>
      </c>
      <c r="S53" s="2">
        <v>0</v>
      </c>
      <c r="T53" s="1">
        <v>20</v>
      </c>
      <c r="U53" s="17">
        <v>0.831152647810126</v>
      </c>
      <c r="V53" s="4">
        <v>60.5</v>
      </c>
      <c r="W53" s="1">
        <v>27.2</v>
      </c>
      <c r="X53" s="8">
        <v>69.7956373695506</v>
      </c>
      <c r="Y53" s="18">
        <v>2.52771977708431</v>
      </c>
      <c r="Z53" s="3">
        <v>0.148807567956061</v>
      </c>
    </row>
    <row r="54" spans="2:26">
      <c r="B54" s="1">
        <v>65</v>
      </c>
      <c r="C54" s="1">
        <v>6.4</v>
      </c>
      <c r="D54" s="1">
        <v>8</v>
      </c>
      <c r="E54" s="1">
        <v>0</v>
      </c>
      <c r="F54" s="2">
        <v>0</v>
      </c>
      <c r="G54" s="1">
        <v>20</v>
      </c>
      <c r="H54" s="3">
        <v>0.831152647810126</v>
      </c>
      <c r="I54" s="4">
        <v>60.7</v>
      </c>
      <c r="J54" s="1">
        <v>28.7</v>
      </c>
      <c r="K54" s="7">
        <v>75.27129391941</v>
      </c>
      <c r="L54" s="8">
        <v>2.82286782259411</v>
      </c>
      <c r="M54" s="9">
        <v>0.136728950616847</v>
      </c>
      <c r="O54" s="1">
        <v>65</v>
      </c>
      <c r="P54" s="1">
        <v>6.4</v>
      </c>
      <c r="Q54" s="1">
        <v>8</v>
      </c>
      <c r="R54" s="1">
        <v>0</v>
      </c>
      <c r="S54" s="2">
        <v>0</v>
      </c>
      <c r="T54" s="1">
        <v>20</v>
      </c>
      <c r="U54" s="17">
        <v>0.831152647810126</v>
      </c>
      <c r="V54" s="4">
        <v>60.7</v>
      </c>
      <c r="W54" s="1">
        <v>28.7</v>
      </c>
      <c r="X54" s="8">
        <v>75.27129391941</v>
      </c>
      <c r="Y54" s="18">
        <v>2.82286782259411</v>
      </c>
      <c r="Z54" s="3">
        <v>0.136728950616847</v>
      </c>
    </row>
    <row r="55" spans="2:26">
      <c r="B55" s="1">
        <v>65</v>
      </c>
      <c r="C55" s="1">
        <v>7.2</v>
      </c>
      <c r="D55" s="1">
        <v>8</v>
      </c>
      <c r="E55" s="1">
        <v>0</v>
      </c>
      <c r="F55" s="2">
        <v>0</v>
      </c>
      <c r="G55" s="1">
        <v>20</v>
      </c>
      <c r="H55" s="3">
        <v>0.831152647810126</v>
      </c>
      <c r="I55" s="4">
        <v>61</v>
      </c>
      <c r="J55" s="1">
        <v>29.3</v>
      </c>
      <c r="K55" s="7">
        <v>78.3476195367422</v>
      </c>
      <c r="L55" s="8">
        <v>2.97259958812712</v>
      </c>
      <c r="M55" s="9">
        <v>0.123872173382836</v>
      </c>
      <c r="O55" s="1">
        <v>65</v>
      </c>
      <c r="P55" s="1">
        <v>7.2</v>
      </c>
      <c r="Q55" s="1">
        <v>8</v>
      </c>
      <c r="R55" s="1">
        <v>0</v>
      </c>
      <c r="S55" s="2">
        <v>0</v>
      </c>
      <c r="T55" s="1">
        <v>20</v>
      </c>
      <c r="U55" s="17">
        <v>0.831152647810126</v>
      </c>
      <c r="V55" s="4">
        <v>61</v>
      </c>
      <c r="W55" s="1">
        <v>29.3</v>
      </c>
      <c r="X55" s="8">
        <v>78.3476195367422</v>
      </c>
      <c r="Y55" s="18">
        <v>2.97259958812712</v>
      </c>
      <c r="Z55" s="3">
        <v>0.123872173382836</v>
      </c>
    </row>
    <row r="56" spans="2:26">
      <c r="B56" s="1">
        <v>65</v>
      </c>
      <c r="C56" s="1">
        <v>8</v>
      </c>
      <c r="D56" s="1">
        <v>8</v>
      </c>
      <c r="E56" s="1">
        <v>0</v>
      </c>
      <c r="F56" s="2">
        <v>0</v>
      </c>
      <c r="G56" s="1">
        <v>20</v>
      </c>
      <c r="H56" s="3">
        <v>0.831152647810126</v>
      </c>
      <c r="I56" s="4">
        <v>61.2</v>
      </c>
      <c r="J56" s="1">
        <v>29.9</v>
      </c>
      <c r="K56" s="7">
        <v>81.8532856612269</v>
      </c>
      <c r="L56" s="8">
        <v>3.14788139701525</v>
      </c>
      <c r="M56" s="9">
        <v>0.113556828302506</v>
      </c>
      <c r="O56" s="1">
        <v>65</v>
      </c>
      <c r="P56" s="1">
        <v>8</v>
      </c>
      <c r="Q56" s="1">
        <v>8</v>
      </c>
      <c r="R56" s="1">
        <v>0</v>
      </c>
      <c r="S56" s="2">
        <v>0</v>
      </c>
      <c r="T56" s="1">
        <v>20</v>
      </c>
      <c r="U56" s="17">
        <v>0.831152647810126</v>
      </c>
      <c r="V56" s="4">
        <v>61.2</v>
      </c>
      <c r="W56" s="1">
        <v>29.9</v>
      </c>
      <c r="X56" s="8">
        <v>81.8532856612269</v>
      </c>
      <c r="Y56" s="18">
        <v>3.14788139701525</v>
      </c>
      <c r="Z56" s="3">
        <v>0.113556828302506</v>
      </c>
    </row>
    <row r="57" spans="2:26">
      <c r="B57" s="1">
        <v>65</v>
      </c>
      <c r="C57" s="1">
        <v>8.8</v>
      </c>
      <c r="D57" s="1">
        <v>8</v>
      </c>
      <c r="E57" s="1">
        <v>0</v>
      </c>
      <c r="F57" s="2">
        <v>0</v>
      </c>
      <c r="G57" s="1">
        <v>20</v>
      </c>
      <c r="H57" s="3">
        <v>0.831152647810126</v>
      </c>
      <c r="I57" s="4">
        <v>61.4</v>
      </c>
      <c r="J57" s="1">
        <v>30.4</v>
      </c>
      <c r="K57" s="7">
        <v>84.7583334449038</v>
      </c>
      <c r="L57" s="8">
        <v>3.29627483965672</v>
      </c>
      <c r="M57" s="9">
        <v>0.104797913834108</v>
      </c>
      <c r="O57" s="1">
        <v>65</v>
      </c>
      <c r="P57" s="1">
        <v>8.8</v>
      </c>
      <c r="Q57" s="1">
        <v>8</v>
      </c>
      <c r="R57" s="1">
        <v>0</v>
      </c>
      <c r="S57" s="2">
        <v>0</v>
      </c>
      <c r="T57" s="1">
        <v>20</v>
      </c>
      <c r="U57" s="17">
        <v>0.831152647810126</v>
      </c>
      <c r="V57" s="4">
        <v>61.4</v>
      </c>
      <c r="W57" s="1">
        <v>30.4</v>
      </c>
      <c r="X57" s="8">
        <v>84.7583334449038</v>
      </c>
      <c r="Y57" s="18">
        <v>3.29627483965672</v>
      </c>
      <c r="Z57" s="3">
        <v>0.104797913834108</v>
      </c>
    </row>
    <row r="58" spans="2:26">
      <c r="B58" s="1">
        <v>65</v>
      </c>
      <c r="C58" s="1">
        <v>9.6</v>
      </c>
      <c r="D58" s="1">
        <v>8</v>
      </c>
      <c r="E58" s="1">
        <v>0</v>
      </c>
      <c r="F58" s="2">
        <v>0</v>
      </c>
      <c r="G58" s="1">
        <v>20</v>
      </c>
      <c r="H58" s="3">
        <v>0.831152647810126</v>
      </c>
      <c r="I58" s="4">
        <v>61.4</v>
      </c>
      <c r="J58" s="1">
        <v>30.7</v>
      </c>
      <c r="K58" s="7">
        <v>89.8752082968419</v>
      </c>
      <c r="L58" s="8">
        <v>3.52543412091991</v>
      </c>
      <c r="M58" s="9">
        <v>0.0969035349899809</v>
      </c>
      <c r="O58" s="1">
        <v>65</v>
      </c>
      <c r="P58" s="1">
        <v>9.6</v>
      </c>
      <c r="Q58" s="1">
        <v>8</v>
      </c>
      <c r="R58" s="1">
        <v>0</v>
      </c>
      <c r="S58" s="2">
        <v>0</v>
      </c>
      <c r="T58" s="1">
        <v>20</v>
      </c>
      <c r="U58" s="17">
        <v>0.831152647810126</v>
      </c>
      <c r="V58" s="4">
        <v>61.4</v>
      </c>
      <c r="W58" s="1">
        <v>30.7</v>
      </c>
      <c r="X58" s="8">
        <v>89.8752082968419</v>
      </c>
      <c r="Y58" s="18">
        <v>3.52543412091991</v>
      </c>
      <c r="Z58" s="3">
        <v>0.0969035349899809</v>
      </c>
    </row>
    <row r="59" spans="2:26">
      <c r="B59" s="1">
        <v>50</v>
      </c>
      <c r="C59" s="1">
        <v>4.8</v>
      </c>
      <c r="D59" s="1">
        <v>8</v>
      </c>
      <c r="E59" s="1">
        <v>0</v>
      </c>
      <c r="F59" s="2">
        <v>0</v>
      </c>
      <c r="G59" s="1">
        <v>20</v>
      </c>
      <c r="H59" s="3">
        <v>0.920818198615511</v>
      </c>
      <c r="I59" s="4">
        <v>46.2</v>
      </c>
      <c r="J59" s="1">
        <v>14.8</v>
      </c>
      <c r="K59" s="7">
        <v>27.8774885256626</v>
      </c>
      <c r="L59" s="8">
        <v>1.37984440330404</v>
      </c>
      <c r="M59" s="9">
        <v>0.131315119974302</v>
      </c>
      <c r="O59" s="1">
        <v>50</v>
      </c>
      <c r="P59" s="1">
        <v>4.8</v>
      </c>
      <c r="Q59" s="1">
        <v>8</v>
      </c>
      <c r="R59" s="1">
        <v>0</v>
      </c>
      <c r="S59" s="2">
        <v>0</v>
      </c>
      <c r="T59" s="1">
        <v>20</v>
      </c>
      <c r="U59" s="17">
        <v>0.920818198615511</v>
      </c>
      <c r="V59" s="4">
        <v>46.2</v>
      </c>
      <c r="W59" s="1">
        <v>14.8</v>
      </c>
      <c r="X59" s="8">
        <v>27.8774885256626</v>
      </c>
      <c r="Y59" s="18">
        <v>1.37984440330404</v>
      </c>
      <c r="Z59" s="3">
        <v>0.131315119974302</v>
      </c>
    </row>
    <row r="60" spans="2:26">
      <c r="B60" s="1">
        <v>50</v>
      </c>
      <c r="C60" s="1">
        <v>5.6</v>
      </c>
      <c r="D60" s="1">
        <v>8</v>
      </c>
      <c r="E60" s="1">
        <v>0</v>
      </c>
      <c r="F60" s="2">
        <v>0</v>
      </c>
      <c r="G60" s="1">
        <v>20</v>
      </c>
      <c r="H60" s="3">
        <v>0.920818198615511</v>
      </c>
      <c r="I60" s="4">
        <v>46.5</v>
      </c>
      <c r="J60" s="1">
        <v>15.4</v>
      </c>
      <c r="K60" s="7">
        <v>29.6043200641404</v>
      </c>
      <c r="L60" s="8">
        <v>1.48301026362214</v>
      </c>
      <c r="M60" s="9">
        <v>0.116580612821222</v>
      </c>
      <c r="O60" s="1">
        <v>50</v>
      </c>
      <c r="P60" s="1">
        <v>5.6</v>
      </c>
      <c r="Q60" s="1">
        <v>8</v>
      </c>
      <c r="R60" s="1">
        <v>0</v>
      </c>
      <c r="S60" s="2">
        <v>0</v>
      </c>
      <c r="T60" s="1">
        <v>20</v>
      </c>
      <c r="U60" s="17">
        <v>0.920818198615511</v>
      </c>
      <c r="V60" s="4">
        <v>46.5</v>
      </c>
      <c r="W60" s="1">
        <v>15.4</v>
      </c>
      <c r="X60" s="8">
        <v>29.6043200641404</v>
      </c>
      <c r="Y60" s="18">
        <v>1.48301026362214</v>
      </c>
      <c r="Z60" s="3">
        <v>0.116580612821222</v>
      </c>
    </row>
    <row r="61" spans="2:26">
      <c r="B61" s="1">
        <v>50</v>
      </c>
      <c r="C61" s="1">
        <v>6.4</v>
      </c>
      <c r="D61" s="1">
        <v>8</v>
      </c>
      <c r="E61" s="1">
        <v>0</v>
      </c>
      <c r="F61" s="2">
        <v>0</v>
      </c>
      <c r="G61" s="1">
        <v>20</v>
      </c>
      <c r="H61" s="3">
        <v>0.920818198615511</v>
      </c>
      <c r="I61" s="4">
        <v>46.9</v>
      </c>
      <c r="J61" s="1">
        <v>16.1</v>
      </c>
      <c r="K61" s="7">
        <v>30.4745829908008</v>
      </c>
      <c r="L61" s="8">
        <v>1.54772775816303</v>
      </c>
      <c r="M61" s="9">
        <v>0.106138853160172</v>
      </c>
      <c r="O61" s="1">
        <v>50</v>
      </c>
      <c r="P61" s="1">
        <v>6.4</v>
      </c>
      <c r="Q61" s="1">
        <v>8</v>
      </c>
      <c r="R61" s="1">
        <v>0</v>
      </c>
      <c r="S61" s="2">
        <v>0</v>
      </c>
      <c r="T61" s="1">
        <v>20</v>
      </c>
      <c r="U61" s="17">
        <v>0.920818198615511</v>
      </c>
      <c r="V61" s="4">
        <v>46.9</v>
      </c>
      <c r="W61" s="1">
        <v>16.1</v>
      </c>
      <c r="X61" s="8">
        <v>30.4745829908008</v>
      </c>
      <c r="Y61" s="18">
        <v>1.54772775816303</v>
      </c>
      <c r="Z61" s="3">
        <v>0.106138853160172</v>
      </c>
    </row>
    <row r="62" spans="2:26">
      <c r="B62" s="1">
        <v>50</v>
      </c>
      <c r="C62" s="1">
        <v>7.2</v>
      </c>
      <c r="D62" s="1">
        <v>8</v>
      </c>
      <c r="E62" s="1">
        <v>0</v>
      </c>
      <c r="F62" s="2">
        <v>0</v>
      </c>
      <c r="G62" s="1">
        <v>20</v>
      </c>
      <c r="H62" s="3">
        <v>0.920818198615511</v>
      </c>
      <c r="I62" s="4">
        <v>47.2</v>
      </c>
      <c r="J62" s="1">
        <v>17.6</v>
      </c>
      <c r="K62" s="7">
        <v>31.9502022239149</v>
      </c>
      <c r="L62" s="8">
        <v>1.69577965189912</v>
      </c>
      <c r="M62" s="9">
        <v>0.102167153133308</v>
      </c>
      <c r="O62" s="1">
        <v>50</v>
      </c>
      <c r="P62" s="1">
        <v>7.2</v>
      </c>
      <c r="Q62" s="1">
        <v>8</v>
      </c>
      <c r="R62" s="1">
        <v>0</v>
      </c>
      <c r="S62" s="2">
        <v>0</v>
      </c>
      <c r="T62" s="1">
        <v>20</v>
      </c>
      <c r="U62" s="17">
        <v>0.920818198615511</v>
      </c>
      <c r="V62" s="4">
        <v>47.2</v>
      </c>
      <c r="W62" s="1">
        <v>17.6</v>
      </c>
      <c r="X62" s="8">
        <v>31.9502022239149</v>
      </c>
      <c r="Y62" s="18">
        <v>1.69577965189912</v>
      </c>
      <c r="Z62" s="3">
        <v>0.102167153133308</v>
      </c>
    </row>
    <row r="63" spans="2:26">
      <c r="B63" s="1">
        <v>50</v>
      </c>
      <c r="C63" s="1">
        <v>8</v>
      </c>
      <c r="D63" s="1">
        <v>8</v>
      </c>
      <c r="E63" s="1">
        <v>0</v>
      </c>
      <c r="F63" s="2">
        <v>0</v>
      </c>
      <c r="G63" s="1">
        <v>20</v>
      </c>
      <c r="H63" s="3">
        <v>0.920818198615511</v>
      </c>
      <c r="I63" s="4">
        <v>47.5</v>
      </c>
      <c r="J63" s="1">
        <v>18.6</v>
      </c>
      <c r="K63" s="7">
        <v>32.647800435085</v>
      </c>
      <c r="L63" s="8">
        <v>1.78563727466017</v>
      </c>
      <c r="M63" s="9">
        <v>0.0966757396228637</v>
      </c>
      <c r="O63" s="1">
        <v>50</v>
      </c>
      <c r="P63" s="1">
        <v>8</v>
      </c>
      <c r="Q63" s="1">
        <v>8</v>
      </c>
      <c r="R63" s="1">
        <v>0</v>
      </c>
      <c r="S63" s="2">
        <v>0</v>
      </c>
      <c r="T63" s="1">
        <v>20</v>
      </c>
      <c r="U63" s="17">
        <v>0.920818198615511</v>
      </c>
      <c r="V63" s="4">
        <v>47.5</v>
      </c>
      <c r="W63" s="1">
        <v>18.6</v>
      </c>
      <c r="X63" s="8">
        <v>32.647800435085</v>
      </c>
      <c r="Y63" s="18">
        <v>1.78563727466017</v>
      </c>
      <c r="Z63" s="3">
        <v>0.0966757396228637</v>
      </c>
    </row>
    <row r="64" spans="2:26">
      <c r="B64" s="1">
        <v>50</v>
      </c>
      <c r="C64" s="1">
        <v>8.8</v>
      </c>
      <c r="D64" s="1">
        <v>8</v>
      </c>
      <c r="E64" s="1">
        <v>0</v>
      </c>
      <c r="F64" s="2">
        <v>0</v>
      </c>
      <c r="G64" s="1">
        <v>20</v>
      </c>
      <c r="H64" s="3">
        <v>0.920818198615511</v>
      </c>
      <c r="I64" s="4">
        <v>47.7</v>
      </c>
      <c r="J64" s="1">
        <v>19.4</v>
      </c>
      <c r="K64" s="7">
        <v>33.5207590014013</v>
      </c>
      <c r="L64" s="8">
        <v>1.88300102065052</v>
      </c>
      <c r="M64" s="9">
        <v>0.0913254483445305</v>
      </c>
      <c r="O64" s="1">
        <v>50</v>
      </c>
      <c r="P64" s="1">
        <v>8.8</v>
      </c>
      <c r="Q64" s="1">
        <v>8</v>
      </c>
      <c r="R64" s="1">
        <v>0</v>
      </c>
      <c r="S64" s="2">
        <v>0</v>
      </c>
      <c r="T64" s="1">
        <v>20</v>
      </c>
      <c r="U64" s="17">
        <v>0.920818198615511</v>
      </c>
      <c r="V64" s="4">
        <v>47.7</v>
      </c>
      <c r="W64" s="1">
        <v>19.4</v>
      </c>
      <c r="X64" s="8">
        <v>33.5207590014013</v>
      </c>
      <c r="Y64" s="18">
        <v>1.88300102065052</v>
      </c>
      <c r="Z64" s="3">
        <v>0.0913254483445305</v>
      </c>
    </row>
    <row r="65" spans="2:26">
      <c r="B65" s="1">
        <v>50</v>
      </c>
      <c r="C65" s="1">
        <v>9.6</v>
      </c>
      <c r="D65" s="1">
        <v>8</v>
      </c>
      <c r="E65" s="1">
        <v>0</v>
      </c>
      <c r="F65" s="2">
        <v>0</v>
      </c>
      <c r="G65" s="1">
        <v>20</v>
      </c>
      <c r="H65" s="3">
        <v>0.920818198615511</v>
      </c>
      <c r="I65" s="4">
        <v>47.7</v>
      </c>
      <c r="J65" s="1">
        <v>19.7</v>
      </c>
      <c r="K65" s="7">
        <v>35.3930543602833</v>
      </c>
      <c r="L65" s="8">
        <v>2.01229553414259</v>
      </c>
      <c r="M65" s="9">
        <v>0.0848881716511648</v>
      </c>
      <c r="O65" s="1">
        <v>50</v>
      </c>
      <c r="P65" s="1">
        <v>9.6</v>
      </c>
      <c r="Q65" s="1">
        <v>8</v>
      </c>
      <c r="R65" s="1">
        <v>0</v>
      </c>
      <c r="S65" s="2">
        <v>0</v>
      </c>
      <c r="T65" s="1">
        <v>20</v>
      </c>
      <c r="U65" s="17">
        <v>0.920818198615511</v>
      </c>
      <c r="V65" s="4">
        <v>47.7</v>
      </c>
      <c r="W65" s="1">
        <v>19.7</v>
      </c>
      <c r="X65" s="8">
        <v>35.3930543602833</v>
      </c>
      <c r="Y65" s="18">
        <v>2.01229553414259</v>
      </c>
      <c r="Z65" s="3">
        <v>0.0848881716511648</v>
      </c>
    </row>
    <row r="66" spans="2:26">
      <c r="B66" s="1">
        <v>55</v>
      </c>
      <c r="C66" s="1">
        <v>4.8</v>
      </c>
      <c r="D66" s="1">
        <v>8</v>
      </c>
      <c r="E66" s="1">
        <v>0</v>
      </c>
      <c r="F66" s="2">
        <v>0</v>
      </c>
      <c r="G66" s="1">
        <v>20</v>
      </c>
      <c r="H66" s="3">
        <v>0.89760467536325</v>
      </c>
      <c r="I66" s="4">
        <v>52</v>
      </c>
      <c r="J66" s="1">
        <v>15.9</v>
      </c>
      <c r="K66" s="7">
        <v>28.5778564627366</v>
      </c>
      <c r="L66" s="8">
        <v>1.1432196371335</v>
      </c>
      <c r="M66" s="9">
        <v>0.114702581524094</v>
      </c>
      <c r="O66" s="1">
        <v>55</v>
      </c>
      <c r="P66" s="1">
        <v>4.8</v>
      </c>
      <c r="Q66" s="1">
        <v>8</v>
      </c>
      <c r="R66" s="1">
        <v>0</v>
      </c>
      <c r="S66" s="2">
        <v>0</v>
      </c>
      <c r="T66" s="1">
        <v>20</v>
      </c>
      <c r="U66" s="17">
        <v>0.89760467536325</v>
      </c>
      <c r="V66" s="4">
        <v>52</v>
      </c>
      <c r="W66" s="1">
        <v>15.9</v>
      </c>
      <c r="X66" s="8">
        <v>28.5778564627366</v>
      </c>
      <c r="Y66" s="18">
        <v>1.1432196371335</v>
      </c>
      <c r="Z66" s="3">
        <v>0.114702581524094</v>
      </c>
    </row>
    <row r="67" spans="2:26">
      <c r="B67" s="1">
        <v>55</v>
      </c>
      <c r="C67" s="1">
        <v>5.6</v>
      </c>
      <c r="D67" s="1">
        <v>8</v>
      </c>
      <c r="E67" s="1">
        <v>0</v>
      </c>
      <c r="F67" s="2">
        <v>0</v>
      </c>
      <c r="G67" s="1">
        <v>20</v>
      </c>
      <c r="H67" s="3">
        <v>0.89760467536325</v>
      </c>
      <c r="I67" s="4">
        <v>52.2</v>
      </c>
      <c r="J67" s="1">
        <v>16.7</v>
      </c>
      <c r="K67" s="7">
        <v>30.6349201621904</v>
      </c>
      <c r="L67" s="8">
        <v>1.24537648862394</v>
      </c>
      <c r="M67" s="9">
        <v>0.102709441848319</v>
      </c>
      <c r="O67" s="1">
        <v>55</v>
      </c>
      <c r="P67" s="1">
        <v>5.6</v>
      </c>
      <c r="Q67" s="1">
        <v>8</v>
      </c>
      <c r="R67" s="1">
        <v>0</v>
      </c>
      <c r="S67" s="2">
        <v>0</v>
      </c>
      <c r="T67" s="1">
        <v>20</v>
      </c>
      <c r="U67" s="17">
        <v>0.89760467536325</v>
      </c>
      <c r="V67" s="4">
        <v>52.2</v>
      </c>
      <c r="W67" s="1">
        <v>16.7</v>
      </c>
      <c r="X67" s="8">
        <v>30.6349201621904</v>
      </c>
      <c r="Y67" s="18">
        <v>1.24537648862394</v>
      </c>
      <c r="Z67" s="3">
        <v>0.102709441848319</v>
      </c>
    </row>
    <row r="68" spans="2:26">
      <c r="B68" s="1">
        <v>55</v>
      </c>
      <c r="C68" s="1">
        <v>6.4</v>
      </c>
      <c r="D68" s="1">
        <v>8</v>
      </c>
      <c r="E68" s="1">
        <v>0</v>
      </c>
      <c r="F68" s="2">
        <v>0</v>
      </c>
      <c r="G68" s="1">
        <v>20</v>
      </c>
      <c r="H68" s="3">
        <v>0.89760467536325</v>
      </c>
      <c r="I68" s="4">
        <v>52.5</v>
      </c>
      <c r="J68" s="1">
        <v>18.3</v>
      </c>
      <c r="K68" s="7">
        <v>32.2595868937939</v>
      </c>
      <c r="L68" s="8">
        <v>1.35945854014694</v>
      </c>
      <c r="M68" s="9">
        <v>0.0975752277316626</v>
      </c>
      <c r="O68" s="1">
        <v>55</v>
      </c>
      <c r="P68" s="1">
        <v>6.4</v>
      </c>
      <c r="Q68" s="1">
        <v>8</v>
      </c>
      <c r="R68" s="1">
        <v>0</v>
      </c>
      <c r="S68" s="2">
        <v>0</v>
      </c>
      <c r="T68" s="1">
        <v>20</v>
      </c>
      <c r="U68" s="17">
        <v>0.89760467536325</v>
      </c>
      <c r="V68" s="4">
        <v>52.5</v>
      </c>
      <c r="W68" s="1">
        <v>18.3</v>
      </c>
      <c r="X68" s="8">
        <v>32.2595868937939</v>
      </c>
      <c r="Y68" s="18">
        <v>1.35945854014694</v>
      </c>
      <c r="Z68" s="3">
        <v>0.0975752277316626</v>
      </c>
    </row>
    <row r="69" spans="2:26">
      <c r="B69" s="1">
        <v>55</v>
      </c>
      <c r="C69" s="1">
        <v>7.2</v>
      </c>
      <c r="D69" s="1">
        <v>8</v>
      </c>
      <c r="E69" s="1">
        <v>0</v>
      </c>
      <c r="F69" s="2">
        <v>0</v>
      </c>
      <c r="G69" s="1">
        <v>20</v>
      </c>
      <c r="H69" s="3">
        <v>0.89760467536325</v>
      </c>
      <c r="I69" s="4">
        <v>52.6</v>
      </c>
      <c r="J69" s="1">
        <v>19.3</v>
      </c>
      <c r="K69" s="7">
        <v>34.442415174699</v>
      </c>
      <c r="L69" s="8">
        <v>1.48907721474993</v>
      </c>
      <c r="M69" s="9">
        <v>0.0910150497827466</v>
      </c>
      <c r="O69" s="1">
        <v>55</v>
      </c>
      <c r="P69" s="1">
        <v>7.2</v>
      </c>
      <c r="Q69" s="1">
        <v>8</v>
      </c>
      <c r="R69" s="1">
        <v>0</v>
      </c>
      <c r="S69" s="2">
        <v>0</v>
      </c>
      <c r="T69" s="1">
        <v>20</v>
      </c>
      <c r="U69" s="17">
        <v>0.89760467536325</v>
      </c>
      <c r="V69" s="4">
        <v>52.6</v>
      </c>
      <c r="W69" s="1">
        <v>19.3</v>
      </c>
      <c r="X69" s="8">
        <v>34.442415174699</v>
      </c>
      <c r="Y69" s="18">
        <v>1.48907721474993</v>
      </c>
      <c r="Z69" s="3">
        <v>0.0910150497827466</v>
      </c>
    </row>
    <row r="70" spans="2:26">
      <c r="B70" s="1">
        <v>55</v>
      </c>
      <c r="C70" s="1">
        <v>8</v>
      </c>
      <c r="D70" s="1">
        <v>8</v>
      </c>
      <c r="E70" s="1">
        <v>0</v>
      </c>
      <c r="F70" s="2">
        <v>0</v>
      </c>
      <c r="G70" s="1">
        <v>20</v>
      </c>
      <c r="H70" s="3">
        <v>0.89760467536325</v>
      </c>
      <c r="I70" s="4">
        <v>52.7</v>
      </c>
      <c r="J70" s="1">
        <v>20.2</v>
      </c>
      <c r="K70" s="7">
        <v>36.3833499399656</v>
      </c>
      <c r="L70" s="8">
        <v>1.61133095841156</v>
      </c>
      <c r="M70" s="9">
        <v>0.0853868656993636</v>
      </c>
      <c r="O70" s="1">
        <v>55</v>
      </c>
      <c r="P70" s="1">
        <v>8</v>
      </c>
      <c r="Q70" s="1">
        <v>8</v>
      </c>
      <c r="R70" s="1">
        <v>0</v>
      </c>
      <c r="S70" s="2">
        <v>0</v>
      </c>
      <c r="T70" s="1">
        <v>20</v>
      </c>
      <c r="U70" s="17">
        <v>0.89760467536325</v>
      </c>
      <c r="V70" s="4">
        <v>52.7</v>
      </c>
      <c r="W70" s="1">
        <v>20.2</v>
      </c>
      <c r="X70" s="8">
        <v>36.3833499399656</v>
      </c>
      <c r="Y70" s="18">
        <v>1.61133095841156</v>
      </c>
      <c r="Z70" s="3">
        <v>0.0853868656993636</v>
      </c>
    </row>
    <row r="71" spans="2:26">
      <c r="B71" s="1">
        <v>55</v>
      </c>
      <c r="C71" s="1">
        <v>8.8</v>
      </c>
      <c r="D71" s="1">
        <v>8</v>
      </c>
      <c r="E71" s="1">
        <v>0</v>
      </c>
      <c r="F71" s="2">
        <v>0</v>
      </c>
      <c r="G71" s="1">
        <v>20</v>
      </c>
      <c r="H71" s="3">
        <v>0.89760467536325</v>
      </c>
      <c r="I71" s="4">
        <v>52.7</v>
      </c>
      <c r="J71" s="1">
        <v>20.8</v>
      </c>
      <c r="K71" s="7">
        <v>38.8648511662825</v>
      </c>
      <c r="L71" s="8">
        <v>1.75234915141171</v>
      </c>
      <c r="M71" s="9">
        <v>0.0797221582559787</v>
      </c>
      <c r="O71" s="1">
        <v>55</v>
      </c>
      <c r="P71" s="1">
        <v>8.8</v>
      </c>
      <c r="Q71" s="1">
        <v>8</v>
      </c>
      <c r="R71" s="1">
        <v>0</v>
      </c>
      <c r="S71" s="2">
        <v>0</v>
      </c>
      <c r="T71" s="1">
        <v>20</v>
      </c>
      <c r="U71" s="17">
        <v>0.89760467536325</v>
      </c>
      <c r="V71" s="4">
        <v>52.7</v>
      </c>
      <c r="W71" s="1">
        <v>20.8</v>
      </c>
      <c r="X71" s="8">
        <v>38.8648511662825</v>
      </c>
      <c r="Y71" s="18">
        <v>1.75234915141171</v>
      </c>
      <c r="Z71" s="3">
        <v>0.0797221582559787</v>
      </c>
    </row>
    <row r="72" spans="2:26">
      <c r="B72" s="1">
        <v>55</v>
      </c>
      <c r="C72" s="1">
        <v>9.6</v>
      </c>
      <c r="D72" s="1">
        <v>8</v>
      </c>
      <c r="E72" s="1">
        <v>0</v>
      </c>
      <c r="F72" s="2">
        <v>0</v>
      </c>
      <c r="G72" s="1">
        <v>20</v>
      </c>
      <c r="H72" s="3">
        <v>0.89760467536325</v>
      </c>
      <c r="I72" s="4">
        <v>52.6</v>
      </c>
      <c r="J72" s="1">
        <v>21.1</v>
      </c>
      <c r="K72" s="7">
        <v>42.1383553969997</v>
      </c>
      <c r="L72" s="8">
        <v>1.92084075992006</v>
      </c>
      <c r="M72" s="9">
        <v>0.074028626335012</v>
      </c>
      <c r="O72" s="1">
        <v>55</v>
      </c>
      <c r="P72" s="1">
        <v>9.6</v>
      </c>
      <c r="Q72" s="1">
        <v>8</v>
      </c>
      <c r="R72" s="1">
        <v>0</v>
      </c>
      <c r="S72" s="2">
        <v>0</v>
      </c>
      <c r="T72" s="1">
        <v>20</v>
      </c>
      <c r="U72" s="17">
        <v>0.89760467536325</v>
      </c>
      <c r="V72" s="4">
        <v>52.6</v>
      </c>
      <c r="W72" s="1">
        <v>21.1</v>
      </c>
      <c r="X72" s="8">
        <v>42.1383553969997</v>
      </c>
      <c r="Y72" s="18">
        <v>1.92084075992006</v>
      </c>
      <c r="Z72" s="3">
        <v>0.074028626335012</v>
      </c>
    </row>
    <row r="73" spans="2:26">
      <c r="B73" s="1">
        <v>60</v>
      </c>
      <c r="C73" s="1">
        <v>4.8</v>
      </c>
      <c r="D73" s="1">
        <v>8</v>
      </c>
      <c r="E73" s="1">
        <v>0</v>
      </c>
      <c r="F73" s="2">
        <v>0</v>
      </c>
      <c r="G73" s="1">
        <v>20</v>
      </c>
      <c r="H73" s="3">
        <v>0.868253123396246</v>
      </c>
      <c r="I73" s="4">
        <v>56.5</v>
      </c>
      <c r="J73" s="1">
        <v>18.6</v>
      </c>
      <c r="K73" s="7">
        <v>37.3221636959064</v>
      </c>
      <c r="L73" s="8">
        <v>1.31967547009918</v>
      </c>
      <c r="M73" s="9">
        <v>0.108519781604146</v>
      </c>
      <c r="O73" s="1">
        <v>60</v>
      </c>
      <c r="P73" s="1">
        <v>4.8</v>
      </c>
      <c r="Q73" s="1">
        <v>8</v>
      </c>
      <c r="R73" s="1">
        <v>0</v>
      </c>
      <c r="S73" s="2">
        <v>0</v>
      </c>
      <c r="T73" s="1">
        <v>20</v>
      </c>
      <c r="U73" s="17">
        <v>0.868253123396246</v>
      </c>
      <c r="V73" s="4">
        <v>56.5</v>
      </c>
      <c r="W73" s="1">
        <v>18.6</v>
      </c>
      <c r="X73" s="8">
        <v>37.3221636959064</v>
      </c>
      <c r="Y73" s="18">
        <v>1.31967547009918</v>
      </c>
      <c r="Z73" s="3">
        <v>0.108519781604146</v>
      </c>
    </row>
    <row r="74" spans="2:26">
      <c r="B74" s="1">
        <v>60</v>
      </c>
      <c r="C74" s="1">
        <v>5.6</v>
      </c>
      <c r="D74" s="1">
        <v>8</v>
      </c>
      <c r="E74" s="1">
        <v>0</v>
      </c>
      <c r="F74" s="2">
        <v>0</v>
      </c>
      <c r="G74" s="1">
        <v>20</v>
      </c>
      <c r="H74" s="3">
        <v>0.868253123396246</v>
      </c>
      <c r="I74" s="4">
        <v>56.9</v>
      </c>
      <c r="J74" s="1">
        <v>20.9</v>
      </c>
      <c r="K74" s="7">
        <v>39.9675083079117</v>
      </c>
      <c r="L74" s="8">
        <v>1.47862539922409</v>
      </c>
      <c r="M74" s="9">
        <v>0.103460097610908</v>
      </c>
      <c r="O74" s="1">
        <v>60</v>
      </c>
      <c r="P74" s="1">
        <v>5.6</v>
      </c>
      <c r="Q74" s="1">
        <v>8</v>
      </c>
      <c r="R74" s="1">
        <v>0</v>
      </c>
      <c r="S74" s="2">
        <v>0</v>
      </c>
      <c r="T74" s="1">
        <v>20</v>
      </c>
      <c r="U74" s="17">
        <v>0.868253123396246</v>
      </c>
      <c r="V74" s="4">
        <v>56.9</v>
      </c>
      <c r="W74" s="1">
        <v>20.9</v>
      </c>
      <c r="X74" s="8">
        <v>39.9675083079117</v>
      </c>
      <c r="Y74" s="18">
        <v>1.47862539922409</v>
      </c>
      <c r="Z74" s="3">
        <v>0.103460097610908</v>
      </c>
    </row>
    <row r="75" spans="2:26">
      <c r="B75" s="1">
        <v>60</v>
      </c>
      <c r="C75" s="1">
        <v>6.4</v>
      </c>
      <c r="D75" s="1">
        <v>8</v>
      </c>
      <c r="E75" s="1">
        <v>0</v>
      </c>
      <c r="F75" s="2">
        <v>0</v>
      </c>
      <c r="G75" s="1">
        <v>20</v>
      </c>
      <c r="H75" s="3">
        <v>0.868253123396246</v>
      </c>
      <c r="I75" s="4">
        <v>57.1</v>
      </c>
      <c r="J75" s="1">
        <v>22</v>
      </c>
      <c r="K75" s="7">
        <v>42.5202909074043</v>
      </c>
      <c r="L75" s="8">
        <v>1.61008360207349</v>
      </c>
      <c r="M75" s="9">
        <v>0.0949014306096479</v>
      </c>
      <c r="O75" s="1">
        <v>60</v>
      </c>
      <c r="P75" s="1">
        <v>6.4</v>
      </c>
      <c r="Q75" s="1">
        <v>8</v>
      </c>
      <c r="R75" s="1">
        <v>0</v>
      </c>
      <c r="S75" s="2">
        <v>0</v>
      </c>
      <c r="T75" s="1">
        <v>20</v>
      </c>
      <c r="U75" s="17">
        <v>0.868253123396246</v>
      </c>
      <c r="V75" s="4">
        <v>57.1</v>
      </c>
      <c r="W75" s="1">
        <v>22</v>
      </c>
      <c r="X75" s="8">
        <v>42.5202909074043</v>
      </c>
      <c r="Y75" s="18">
        <v>1.61008360207349</v>
      </c>
      <c r="Z75" s="3">
        <v>0.0949014306096479</v>
      </c>
    </row>
    <row r="76" spans="2:26">
      <c r="B76" s="1">
        <v>60</v>
      </c>
      <c r="C76" s="1">
        <v>7.2</v>
      </c>
      <c r="D76" s="1">
        <v>8</v>
      </c>
      <c r="E76" s="1">
        <v>0</v>
      </c>
      <c r="F76" s="2">
        <v>0</v>
      </c>
      <c r="G76" s="1">
        <v>20</v>
      </c>
      <c r="H76" s="3">
        <v>0.868253123396246</v>
      </c>
      <c r="I76" s="4">
        <v>57.2</v>
      </c>
      <c r="J76" s="1">
        <v>23.9</v>
      </c>
      <c r="K76" s="7">
        <v>46.1343307015243</v>
      </c>
      <c r="L76" s="8">
        <v>1.83113824918933</v>
      </c>
      <c r="M76" s="9">
        <v>0.091024356490968</v>
      </c>
      <c r="O76" s="1">
        <v>60</v>
      </c>
      <c r="P76" s="1">
        <v>7.2</v>
      </c>
      <c r="Q76" s="1">
        <v>8</v>
      </c>
      <c r="R76" s="1">
        <v>0</v>
      </c>
      <c r="S76" s="2">
        <v>0</v>
      </c>
      <c r="T76" s="1">
        <v>20</v>
      </c>
      <c r="U76" s="17">
        <v>0.868253123396246</v>
      </c>
      <c r="V76" s="4">
        <v>57.2</v>
      </c>
      <c r="W76" s="1">
        <v>23.9</v>
      </c>
      <c r="X76" s="8">
        <v>46.1343307015243</v>
      </c>
      <c r="Y76" s="18">
        <v>1.83113824918933</v>
      </c>
      <c r="Z76" s="3">
        <v>0.091024356490968</v>
      </c>
    </row>
    <row r="77" spans="2:26">
      <c r="B77" s="1">
        <v>60</v>
      </c>
      <c r="C77" s="1">
        <v>8</v>
      </c>
      <c r="D77" s="1">
        <v>8</v>
      </c>
      <c r="E77" s="1">
        <v>0</v>
      </c>
      <c r="F77" s="2">
        <v>0</v>
      </c>
      <c r="G77" s="1">
        <v>20</v>
      </c>
      <c r="H77" s="3">
        <v>0.868253123396246</v>
      </c>
      <c r="I77" s="4">
        <v>57.4</v>
      </c>
      <c r="J77" s="1">
        <v>24.8</v>
      </c>
      <c r="K77" s="7">
        <v>47.8031967184016</v>
      </c>
      <c r="L77" s="8">
        <v>1.93877551649449</v>
      </c>
      <c r="M77" s="9">
        <v>0.084770899309919</v>
      </c>
      <c r="O77" s="1">
        <v>60</v>
      </c>
      <c r="P77" s="1">
        <v>8</v>
      </c>
      <c r="Q77" s="1">
        <v>8</v>
      </c>
      <c r="R77" s="1">
        <v>0</v>
      </c>
      <c r="S77" s="2">
        <v>0</v>
      </c>
      <c r="T77" s="1">
        <v>20</v>
      </c>
      <c r="U77" s="17">
        <v>0.868253123396246</v>
      </c>
      <c r="V77" s="4">
        <v>57.4</v>
      </c>
      <c r="W77" s="1">
        <v>24.8</v>
      </c>
      <c r="X77" s="8">
        <v>47.8031967184016</v>
      </c>
      <c r="Y77" s="18">
        <v>1.93877551649449</v>
      </c>
      <c r="Z77" s="3">
        <v>0.084770899309919</v>
      </c>
    </row>
    <row r="78" spans="2:26">
      <c r="B78" s="1">
        <v>60</v>
      </c>
      <c r="C78" s="1">
        <v>8.8</v>
      </c>
      <c r="D78" s="1">
        <v>8</v>
      </c>
      <c r="E78" s="1">
        <v>0</v>
      </c>
      <c r="F78" s="2">
        <v>0</v>
      </c>
      <c r="G78" s="1">
        <v>20</v>
      </c>
      <c r="H78" s="3">
        <v>0.868253123396246</v>
      </c>
      <c r="I78" s="4">
        <v>57.6</v>
      </c>
      <c r="J78" s="1">
        <v>25.6</v>
      </c>
      <c r="K78" s="7">
        <v>48.9663085047538</v>
      </c>
      <c r="L78" s="8">
        <v>2.02571896825869</v>
      </c>
      <c r="M78" s="9">
        <v>0.0793610863228558</v>
      </c>
      <c r="O78" s="1">
        <v>60</v>
      </c>
      <c r="P78" s="1">
        <v>8.8</v>
      </c>
      <c r="Q78" s="1">
        <v>8</v>
      </c>
      <c r="R78" s="1">
        <v>0</v>
      </c>
      <c r="S78" s="2">
        <v>0</v>
      </c>
      <c r="T78" s="1">
        <v>20</v>
      </c>
      <c r="U78" s="17">
        <v>0.868253123396246</v>
      </c>
      <c r="V78" s="4">
        <v>57.6</v>
      </c>
      <c r="W78" s="1">
        <v>25.6</v>
      </c>
      <c r="X78" s="8">
        <v>48.9663085047538</v>
      </c>
      <c r="Y78" s="18">
        <v>2.02571896825869</v>
      </c>
      <c r="Z78" s="3">
        <v>0.0793610863228558</v>
      </c>
    </row>
    <row r="79" spans="2:26">
      <c r="B79" s="1">
        <v>60</v>
      </c>
      <c r="C79" s="1">
        <v>9.6</v>
      </c>
      <c r="D79" s="1">
        <v>8</v>
      </c>
      <c r="E79" s="1">
        <v>0</v>
      </c>
      <c r="F79" s="2">
        <v>0</v>
      </c>
      <c r="G79" s="1">
        <v>20</v>
      </c>
      <c r="H79" s="3">
        <v>0.868253123396246</v>
      </c>
      <c r="I79" s="4">
        <v>57.8</v>
      </c>
      <c r="J79" s="1">
        <v>26</v>
      </c>
      <c r="K79" s="7">
        <v>49.4067306389199</v>
      </c>
      <c r="L79" s="8">
        <v>2.06190431956927</v>
      </c>
      <c r="M79" s="9">
        <v>0.0738082109417267</v>
      </c>
      <c r="O79" s="1">
        <v>60</v>
      </c>
      <c r="P79" s="1">
        <v>9.6</v>
      </c>
      <c r="Q79" s="1">
        <v>8</v>
      </c>
      <c r="R79" s="1">
        <v>0</v>
      </c>
      <c r="S79" s="2">
        <v>0</v>
      </c>
      <c r="T79" s="1">
        <v>20</v>
      </c>
      <c r="U79" s="17">
        <v>0.868253123396246</v>
      </c>
      <c r="V79" s="4">
        <v>57.8</v>
      </c>
      <c r="W79" s="1">
        <v>26</v>
      </c>
      <c r="X79" s="8">
        <v>49.4067306389199</v>
      </c>
      <c r="Y79" s="18">
        <v>2.06190431956927</v>
      </c>
      <c r="Z79" s="3">
        <v>0.0738082109417267</v>
      </c>
    </row>
    <row r="80" spans="2:26">
      <c r="B80" s="1">
        <v>65</v>
      </c>
      <c r="C80" s="1">
        <v>4.4</v>
      </c>
      <c r="D80" s="1">
        <v>8</v>
      </c>
      <c r="E80" s="1">
        <v>0</v>
      </c>
      <c r="F80" s="2">
        <v>0</v>
      </c>
      <c r="G80" s="1">
        <v>20</v>
      </c>
      <c r="H80" s="3">
        <v>0.831152647810126</v>
      </c>
      <c r="I80" s="4">
        <v>61.5</v>
      </c>
      <c r="J80" s="1">
        <v>21.2</v>
      </c>
      <c r="K80" s="7">
        <v>42.5312570870699</v>
      </c>
      <c r="L80" s="8">
        <v>1.33602896409257</v>
      </c>
      <c r="M80" s="9">
        <v>0.110252463729261</v>
      </c>
      <c r="O80" s="1">
        <v>65</v>
      </c>
      <c r="P80" s="1">
        <v>4.4</v>
      </c>
      <c r="Q80" s="1">
        <v>8</v>
      </c>
      <c r="R80" s="1">
        <v>0</v>
      </c>
      <c r="S80" s="2">
        <v>0</v>
      </c>
      <c r="T80" s="1">
        <v>20</v>
      </c>
      <c r="U80" s="17">
        <v>0.831152647810126</v>
      </c>
      <c r="V80" s="4">
        <v>61.5</v>
      </c>
      <c r="W80" s="1">
        <v>21.2</v>
      </c>
      <c r="X80" s="8">
        <v>42.5312570870699</v>
      </c>
      <c r="Y80" s="18">
        <v>1.33602896409257</v>
      </c>
      <c r="Z80" s="3">
        <v>0.110252463729261</v>
      </c>
    </row>
    <row r="81" spans="2:26">
      <c r="B81" s="1">
        <v>65</v>
      </c>
      <c r="C81" s="1">
        <v>4.8</v>
      </c>
      <c r="D81" s="1">
        <v>8</v>
      </c>
      <c r="E81" s="1">
        <v>0</v>
      </c>
      <c r="F81" s="2">
        <v>0</v>
      </c>
      <c r="G81" s="1">
        <v>20</v>
      </c>
      <c r="H81" s="3">
        <v>0.831152647810126</v>
      </c>
      <c r="I81" s="4">
        <v>61.8</v>
      </c>
      <c r="J81" s="1">
        <v>23.3</v>
      </c>
      <c r="K81" s="7">
        <v>44.1856810356296</v>
      </c>
      <c r="L81" s="8">
        <v>1.4411656221909</v>
      </c>
      <c r="M81" s="9">
        <v>0.110242788802993</v>
      </c>
      <c r="O81" s="1">
        <v>65</v>
      </c>
      <c r="P81" s="1">
        <v>4.8</v>
      </c>
      <c r="Q81" s="1">
        <v>8</v>
      </c>
      <c r="R81" s="1">
        <v>0</v>
      </c>
      <c r="S81" s="2">
        <v>0</v>
      </c>
      <c r="T81" s="1">
        <v>20</v>
      </c>
      <c r="U81" s="17">
        <v>0.831152647810126</v>
      </c>
      <c r="V81" s="4">
        <v>61.8</v>
      </c>
      <c r="W81" s="1">
        <v>23.3</v>
      </c>
      <c r="X81" s="8">
        <v>44.1856810356296</v>
      </c>
      <c r="Y81" s="18">
        <v>1.4411656221909</v>
      </c>
      <c r="Z81" s="3">
        <v>0.110242788802993</v>
      </c>
    </row>
    <row r="82" spans="2:26">
      <c r="B82" s="1">
        <v>65</v>
      </c>
      <c r="C82" s="1">
        <v>5.6</v>
      </c>
      <c r="D82" s="1">
        <v>8</v>
      </c>
      <c r="E82" s="1">
        <v>0</v>
      </c>
      <c r="F82" s="2">
        <v>0</v>
      </c>
      <c r="G82" s="1">
        <v>20</v>
      </c>
      <c r="H82" s="3">
        <v>0.831152647810126</v>
      </c>
      <c r="I82" s="4">
        <v>62.1</v>
      </c>
      <c r="J82" s="1">
        <v>25.1</v>
      </c>
      <c r="K82" s="7">
        <v>47.1995903896931</v>
      </c>
      <c r="L82" s="8">
        <v>1.59315203109625</v>
      </c>
      <c r="M82" s="9">
        <v>0.101209457045184</v>
      </c>
      <c r="O82" s="1">
        <v>65</v>
      </c>
      <c r="P82" s="1">
        <v>5.6</v>
      </c>
      <c r="Q82" s="1">
        <v>8</v>
      </c>
      <c r="R82" s="1">
        <v>0</v>
      </c>
      <c r="S82" s="2">
        <v>0</v>
      </c>
      <c r="T82" s="1">
        <v>20</v>
      </c>
      <c r="U82" s="17">
        <v>0.831152647810126</v>
      </c>
      <c r="V82" s="4">
        <v>62.1</v>
      </c>
      <c r="W82" s="1">
        <v>25.1</v>
      </c>
      <c r="X82" s="8">
        <v>47.1995903896931</v>
      </c>
      <c r="Y82" s="18">
        <v>1.59315203109625</v>
      </c>
      <c r="Z82" s="3">
        <v>0.101209457045184</v>
      </c>
    </row>
    <row r="83" spans="2:26">
      <c r="B83" s="1">
        <v>65</v>
      </c>
      <c r="C83" s="1">
        <v>6.4</v>
      </c>
      <c r="D83" s="1">
        <v>8</v>
      </c>
      <c r="E83" s="1">
        <v>0</v>
      </c>
      <c r="F83" s="2">
        <v>0</v>
      </c>
      <c r="G83" s="1">
        <v>20</v>
      </c>
      <c r="H83" s="3">
        <v>0.831152647810126</v>
      </c>
      <c r="I83" s="4">
        <v>62.3</v>
      </c>
      <c r="J83" s="1">
        <v>26.7</v>
      </c>
      <c r="K83" s="7">
        <v>50.2811960605693</v>
      </c>
      <c r="L83" s="8">
        <v>1.7554129816674</v>
      </c>
      <c r="M83" s="9">
        <v>0.093730147660826</v>
      </c>
      <c r="O83" s="1">
        <v>65</v>
      </c>
      <c r="P83" s="1">
        <v>6.4</v>
      </c>
      <c r="Q83" s="1">
        <v>8</v>
      </c>
      <c r="R83" s="1">
        <v>0</v>
      </c>
      <c r="S83" s="2">
        <v>0</v>
      </c>
      <c r="T83" s="1">
        <v>20</v>
      </c>
      <c r="U83" s="17">
        <v>0.831152647810126</v>
      </c>
      <c r="V83" s="4">
        <v>62.3</v>
      </c>
      <c r="W83" s="1">
        <v>26.7</v>
      </c>
      <c r="X83" s="8">
        <v>50.2811960605693</v>
      </c>
      <c r="Y83" s="18">
        <v>1.7554129816674</v>
      </c>
      <c r="Z83" s="3">
        <v>0.093730147660826</v>
      </c>
    </row>
    <row r="84" spans="2:26">
      <c r="B84" s="1">
        <v>65</v>
      </c>
      <c r="C84" s="1">
        <v>7.2</v>
      </c>
      <c r="D84" s="1">
        <v>8</v>
      </c>
      <c r="E84" s="1">
        <v>0</v>
      </c>
      <c r="F84" s="2">
        <v>0</v>
      </c>
      <c r="G84" s="1">
        <v>20</v>
      </c>
      <c r="H84" s="3">
        <v>0.831152647810126</v>
      </c>
      <c r="I84" s="4">
        <v>62.3</v>
      </c>
      <c r="J84" s="1">
        <v>27.5</v>
      </c>
      <c r="K84" s="7">
        <v>54.565484126223</v>
      </c>
      <c r="L84" s="8">
        <v>1.94188482119555</v>
      </c>
      <c r="M84" s="9">
        <v>0.0855827649320988</v>
      </c>
      <c r="O84" s="1">
        <v>65</v>
      </c>
      <c r="P84" s="1">
        <v>7.2</v>
      </c>
      <c r="Q84" s="1">
        <v>8</v>
      </c>
      <c r="R84" s="1">
        <v>0</v>
      </c>
      <c r="S84" s="2">
        <v>0</v>
      </c>
      <c r="T84" s="1">
        <v>20</v>
      </c>
      <c r="U84" s="17">
        <v>0.831152647810126</v>
      </c>
      <c r="V84" s="4">
        <v>62.3</v>
      </c>
      <c r="W84" s="1">
        <v>27.5</v>
      </c>
      <c r="X84" s="8">
        <v>54.565484126223</v>
      </c>
      <c r="Y84" s="18">
        <v>1.94188482119555</v>
      </c>
      <c r="Z84" s="3">
        <v>0.0855827649320988</v>
      </c>
    </row>
    <row r="85" spans="2:26">
      <c r="B85" s="1">
        <v>65</v>
      </c>
      <c r="C85" s="1">
        <v>8</v>
      </c>
      <c r="D85" s="1">
        <v>8</v>
      </c>
      <c r="E85" s="1">
        <v>0</v>
      </c>
      <c r="F85" s="2">
        <v>0</v>
      </c>
      <c r="G85" s="1">
        <v>20</v>
      </c>
      <c r="H85" s="3">
        <v>0.831152647810126</v>
      </c>
      <c r="I85" s="4">
        <v>62.5</v>
      </c>
      <c r="J85" s="1">
        <v>28.1</v>
      </c>
      <c r="K85" s="7">
        <v>56.150523621278</v>
      </c>
      <c r="L85" s="8">
        <v>2.02271394026248</v>
      </c>
      <c r="M85" s="9">
        <v>0.0785686703739023</v>
      </c>
      <c r="O85" s="1">
        <v>65</v>
      </c>
      <c r="P85" s="1">
        <v>8</v>
      </c>
      <c r="Q85" s="1">
        <v>8</v>
      </c>
      <c r="R85" s="1">
        <v>0</v>
      </c>
      <c r="S85" s="2">
        <v>0</v>
      </c>
      <c r="T85" s="1">
        <v>20</v>
      </c>
      <c r="U85" s="17">
        <v>0.831152647810126</v>
      </c>
      <c r="V85" s="4">
        <v>62.5</v>
      </c>
      <c r="W85" s="1">
        <v>28.1</v>
      </c>
      <c r="X85" s="8">
        <v>56.150523621278</v>
      </c>
      <c r="Y85" s="18">
        <v>2.02271394026248</v>
      </c>
      <c r="Z85" s="3">
        <v>0.0785686703739023</v>
      </c>
    </row>
    <row r="86" spans="2:26">
      <c r="B86" s="1">
        <v>65</v>
      </c>
      <c r="C86" s="1">
        <v>8.8</v>
      </c>
      <c r="D86" s="1">
        <v>8</v>
      </c>
      <c r="E86" s="1">
        <v>0</v>
      </c>
      <c r="F86" s="2">
        <v>0</v>
      </c>
      <c r="G86" s="1">
        <v>20</v>
      </c>
      <c r="H86" s="3">
        <v>0.831152647810126</v>
      </c>
      <c r="I86" s="4">
        <v>62.6</v>
      </c>
      <c r="J86" s="1">
        <v>28.9</v>
      </c>
      <c r="K86" s="7">
        <v>58.7525659571477</v>
      </c>
      <c r="L86" s="8">
        <v>2.15729441194541</v>
      </c>
      <c r="M86" s="9">
        <v>0.0732680358458013</v>
      </c>
      <c r="O86" s="1">
        <v>65</v>
      </c>
      <c r="P86" s="1">
        <v>8.8</v>
      </c>
      <c r="Q86" s="1">
        <v>8</v>
      </c>
      <c r="R86" s="1">
        <v>0</v>
      </c>
      <c r="S86" s="2">
        <v>0</v>
      </c>
      <c r="T86" s="1">
        <v>20</v>
      </c>
      <c r="U86" s="17">
        <v>0.831152647810126</v>
      </c>
      <c r="V86" s="4">
        <v>62.6</v>
      </c>
      <c r="W86" s="1">
        <v>28.9</v>
      </c>
      <c r="X86" s="8">
        <v>58.7525659571477</v>
      </c>
      <c r="Y86" s="18">
        <v>2.15729441194541</v>
      </c>
      <c r="Z86" s="3">
        <v>0.0732680358458013</v>
      </c>
    </row>
    <row r="87" spans="2:26">
      <c r="B87" s="1">
        <v>65</v>
      </c>
      <c r="C87" s="1">
        <v>9.6</v>
      </c>
      <c r="D87" s="1">
        <v>8</v>
      </c>
      <c r="E87" s="1">
        <v>0</v>
      </c>
      <c r="F87" s="2">
        <v>0</v>
      </c>
      <c r="G87" s="1">
        <v>20</v>
      </c>
      <c r="H87" s="3">
        <v>0.831152647810126</v>
      </c>
      <c r="I87" s="4">
        <v>62.6</v>
      </c>
      <c r="J87" s="1">
        <v>29.5</v>
      </c>
      <c r="K87" s="7">
        <v>62.5041928682536</v>
      </c>
      <c r="L87" s="8">
        <v>2.33183130567708</v>
      </c>
      <c r="M87" s="9">
        <v>0.0684115687014759</v>
      </c>
      <c r="O87" s="1">
        <v>65</v>
      </c>
      <c r="P87" s="1">
        <v>9.6</v>
      </c>
      <c r="Q87" s="1">
        <v>8</v>
      </c>
      <c r="R87" s="1">
        <v>0</v>
      </c>
      <c r="S87" s="2">
        <v>0</v>
      </c>
      <c r="T87" s="1">
        <v>20</v>
      </c>
      <c r="U87" s="17">
        <v>0.831152647810126</v>
      </c>
      <c r="V87" s="4">
        <v>62.6</v>
      </c>
      <c r="W87" s="1">
        <v>29.5</v>
      </c>
      <c r="X87" s="8">
        <v>62.5041928682536</v>
      </c>
      <c r="Y87" s="18">
        <v>2.33183130567708</v>
      </c>
      <c r="Z87" s="3">
        <v>0.0684115687014759</v>
      </c>
    </row>
    <row r="88" spans="2:26">
      <c r="B88" s="1">
        <v>50</v>
      </c>
      <c r="C88" s="1">
        <v>4.8</v>
      </c>
      <c r="D88" s="1">
        <v>8</v>
      </c>
      <c r="E88" s="1">
        <v>0</v>
      </c>
      <c r="F88" s="2">
        <v>0</v>
      </c>
      <c r="G88" s="1">
        <v>20</v>
      </c>
      <c r="H88" s="3">
        <v>0.920818198615511</v>
      </c>
      <c r="I88" s="4">
        <v>46.8</v>
      </c>
      <c r="J88" s="1">
        <v>12.7</v>
      </c>
      <c r="K88" s="7">
        <v>20.1929880640215</v>
      </c>
      <c r="L88" s="8">
        <v>0.930355547940985</v>
      </c>
      <c r="M88" s="9">
        <v>0.0726929027831926</v>
      </c>
      <c r="O88" s="1">
        <v>50</v>
      </c>
      <c r="P88" s="1">
        <v>4.8</v>
      </c>
      <c r="Q88" s="1">
        <v>8</v>
      </c>
      <c r="R88" s="1">
        <v>0</v>
      </c>
      <c r="S88" s="2">
        <v>0</v>
      </c>
      <c r="T88" s="1">
        <v>20</v>
      </c>
      <c r="U88" s="17">
        <v>0.920818198615511</v>
      </c>
      <c r="V88" s="4">
        <v>46.8</v>
      </c>
      <c r="W88" s="1">
        <v>12.7</v>
      </c>
      <c r="X88" s="8">
        <v>20.1929880640215</v>
      </c>
      <c r="Y88" s="18">
        <v>0.930355547940985</v>
      </c>
      <c r="Z88" s="3">
        <v>0.0726929027831926</v>
      </c>
    </row>
    <row r="89" spans="2:26">
      <c r="B89" s="1">
        <v>50</v>
      </c>
      <c r="C89" s="1">
        <v>5.6</v>
      </c>
      <c r="D89" s="1">
        <v>8</v>
      </c>
      <c r="E89" s="1">
        <v>0</v>
      </c>
      <c r="F89" s="2">
        <v>0</v>
      </c>
      <c r="G89" s="1">
        <v>20</v>
      </c>
      <c r="H89" s="3">
        <v>0.920818198615511</v>
      </c>
      <c r="I89" s="4">
        <v>47</v>
      </c>
      <c r="J89" s="1">
        <v>14.1</v>
      </c>
      <c r="K89" s="7">
        <v>22.1520641481794</v>
      </c>
      <c r="L89" s="8">
        <v>1.05674876718464</v>
      </c>
      <c r="M89" s="9">
        <v>0.0681313746264914</v>
      </c>
      <c r="O89" s="1">
        <v>50</v>
      </c>
      <c r="P89" s="1">
        <v>5.6</v>
      </c>
      <c r="Q89" s="1">
        <v>8</v>
      </c>
      <c r="R89" s="1">
        <v>0</v>
      </c>
      <c r="S89" s="2">
        <v>0</v>
      </c>
      <c r="T89" s="1">
        <v>20</v>
      </c>
      <c r="U89" s="17">
        <v>0.920818198615511</v>
      </c>
      <c r="V89" s="4">
        <v>47</v>
      </c>
      <c r="W89" s="1">
        <v>14.1</v>
      </c>
      <c r="X89" s="8">
        <v>22.1520641481794</v>
      </c>
      <c r="Y89" s="18">
        <v>1.05674876718464</v>
      </c>
      <c r="Z89" s="3">
        <v>0.0681313746264914</v>
      </c>
    </row>
    <row r="90" spans="2:26">
      <c r="B90" s="1">
        <v>50</v>
      </c>
      <c r="C90" s="1">
        <v>6.4</v>
      </c>
      <c r="D90" s="1">
        <v>8</v>
      </c>
      <c r="E90" s="1">
        <v>0</v>
      </c>
      <c r="F90" s="2">
        <v>0</v>
      </c>
      <c r="G90" s="1">
        <v>20</v>
      </c>
      <c r="H90" s="3">
        <v>0.920818198615511</v>
      </c>
      <c r="I90" s="4">
        <v>47.3</v>
      </c>
      <c r="J90" s="1">
        <v>15</v>
      </c>
      <c r="K90" s="7">
        <v>23.0866622029281</v>
      </c>
      <c r="L90" s="8">
        <v>1.12399479800149</v>
      </c>
      <c r="M90" s="9">
        <v>0.0629262270524223</v>
      </c>
      <c r="O90" s="1">
        <v>50</v>
      </c>
      <c r="P90" s="1">
        <v>6.4</v>
      </c>
      <c r="Q90" s="1">
        <v>8</v>
      </c>
      <c r="R90" s="1">
        <v>0</v>
      </c>
      <c r="S90" s="2">
        <v>0</v>
      </c>
      <c r="T90" s="1">
        <v>20</v>
      </c>
      <c r="U90" s="17">
        <v>0.920818198615511</v>
      </c>
      <c r="V90" s="4">
        <v>47.3</v>
      </c>
      <c r="W90" s="1">
        <v>15</v>
      </c>
      <c r="X90" s="8">
        <v>23.0866622029281</v>
      </c>
      <c r="Y90" s="18">
        <v>1.12399479800149</v>
      </c>
      <c r="Z90" s="3">
        <v>0.0629262270524223</v>
      </c>
    </row>
    <row r="91" spans="2:26">
      <c r="B91" s="1">
        <v>50</v>
      </c>
      <c r="C91" s="1">
        <v>7.2</v>
      </c>
      <c r="D91" s="1">
        <v>8</v>
      </c>
      <c r="E91" s="1">
        <v>0</v>
      </c>
      <c r="F91" s="2">
        <v>0</v>
      </c>
      <c r="G91" s="1">
        <v>20</v>
      </c>
      <c r="H91" s="3">
        <v>0.920818198615511</v>
      </c>
      <c r="I91" s="4">
        <v>47.4</v>
      </c>
      <c r="J91" s="1">
        <v>16.6</v>
      </c>
      <c r="K91" s="7">
        <v>25.1260396800695</v>
      </c>
      <c r="L91" s="8">
        <v>1.28374016930213</v>
      </c>
      <c r="M91" s="9">
        <v>0.0611575970510797</v>
      </c>
      <c r="O91" s="1">
        <v>50</v>
      </c>
      <c r="P91" s="1">
        <v>7.2</v>
      </c>
      <c r="Q91" s="1">
        <v>8</v>
      </c>
      <c r="R91" s="1">
        <v>0</v>
      </c>
      <c r="S91" s="2">
        <v>0</v>
      </c>
      <c r="T91" s="1">
        <v>20</v>
      </c>
      <c r="U91" s="17">
        <v>0.920818198615511</v>
      </c>
      <c r="V91" s="4">
        <v>47.4</v>
      </c>
      <c r="W91" s="1">
        <v>16.6</v>
      </c>
      <c r="X91" s="8">
        <v>25.1260396800695</v>
      </c>
      <c r="Y91" s="18">
        <v>1.28374016930213</v>
      </c>
      <c r="Z91" s="3">
        <v>0.0611575970510797</v>
      </c>
    </row>
    <row r="92" spans="2:26">
      <c r="B92" s="1">
        <v>50</v>
      </c>
      <c r="C92" s="1">
        <v>8</v>
      </c>
      <c r="D92" s="1">
        <v>8</v>
      </c>
      <c r="E92" s="1">
        <v>0</v>
      </c>
      <c r="F92" s="2">
        <v>0</v>
      </c>
      <c r="G92" s="1">
        <v>20</v>
      </c>
      <c r="H92" s="3">
        <v>0.920818198615511</v>
      </c>
      <c r="I92" s="4">
        <v>47.6</v>
      </c>
      <c r="J92" s="1">
        <v>17.5</v>
      </c>
      <c r="K92" s="7">
        <v>26.0409652375407</v>
      </c>
      <c r="L92" s="8">
        <v>1.3660075083546</v>
      </c>
      <c r="M92" s="9">
        <v>0.0577098624890803</v>
      </c>
      <c r="O92" s="1">
        <v>50</v>
      </c>
      <c r="P92" s="1">
        <v>8</v>
      </c>
      <c r="Q92" s="1">
        <v>8</v>
      </c>
      <c r="R92" s="1">
        <v>0</v>
      </c>
      <c r="S92" s="2">
        <v>0</v>
      </c>
      <c r="T92" s="1">
        <v>20</v>
      </c>
      <c r="U92" s="17">
        <v>0.920818198615511</v>
      </c>
      <c r="V92" s="4">
        <v>47.6</v>
      </c>
      <c r="W92" s="1">
        <v>17.5</v>
      </c>
      <c r="X92" s="8">
        <v>26.0409652375407</v>
      </c>
      <c r="Y92" s="18">
        <v>1.3660075083546</v>
      </c>
      <c r="Z92" s="3">
        <v>0.0577098624890803</v>
      </c>
    </row>
    <row r="93" spans="2:26">
      <c r="B93" s="1">
        <v>50</v>
      </c>
      <c r="C93" s="1">
        <v>8.8</v>
      </c>
      <c r="D93" s="1">
        <v>8</v>
      </c>
      <c r="E93" s="1">
        <v>0</v>
      </c>
      <c r="F93" s="2">
        <v>0</v>
      </c>
      <c r="G93" s="1">
        <v>20</v>
      </c>
      <c r="H93" s="3">
        <v>0.920818198615511</v>
      </c>
      <c r="I93" s="4">
        <v>47.7</v>
      </c>
      <c r="J93" s="1">
        <v>18.7</v>
      </c>
      <c r="K93" s="7">
        <v>27.5585039292318</v>
      </c>
      <c r="L93" s="8">
        <v>1.50669346130156</v>
      </c>
      <c r="M93" s="9">
        <v>0.0556929490869924</v>
      </c>
      <c r="O93" s="1">
        <v>50</v>
      </c>
      <c r="P93" s="1">
        <v>8.8</v>
      </c>
      <c r="Q93" s="1">
        <v>8</v>
      </c>
      <c r="R93" s="1">
        <v>0</v>
      </c>
      <c r="S93" s="2">
        <v>0</v>
      </c>
      <c r="T93" s="1">
        <v>20</v>
      </c>
      <c r="U93" s="17">
        <v>0.920818198615511</v>
      </c>
      <c r="V93" s="4">
        <v>47.7</v>
      </c>
      <c r="W93" s="1">
        <v>18.7</v>
      </c>
      <c r="X93" s="8">
        <v>27.5585039292318</v>
      </c>
      <c r="Y93" s="18">
        <v>1.50669346130156</v>
      </c>
      <c r="Z93" s="3">
        <v>0.0556929490869924</v>
      </c>
    </row>
    <row r="94" spans="2:26">
      <c r="B94" s="1">
        <v>50</v>
      </c>
      <c r="C94" s="1">
        <v>9.6</v>
      </c>
      <c r="D94" s="1">
        <v>8</v>
      </c>
      <c r="E94" s="1">
        <v>0</v>
      </c>
      <c r="F94" s="2">
        <v>0</v>
      </c>
      <c r="G94" s="1">
        <v>20</v>
      </c>
      <c r="H94" s="3">
        <v>0.920818198615511</v>
      </c>
      <c r="I94" s="4">
        <v>47.7</v>
      </c>
      <c r="J94" s="1">
        <v>19.1</v>
      </c>
      <c r="K94" s="7">
        <v>29.3965483309568</v>
      </c>
      <c r="L94" s="8">
        <v>1.63198021889895</v>
      </c>
      <c r="M94" s="9">
        <v>0.0520374097251558</v>
      </c>
      <c r="O94" s="1">
        <v>50</v>
      </c>
      <c r="P94" s="1">
        <v>9.6</v>
      </c>
      <c r="Q94" s="1">
        <v>8</v>
      </c>
      <c r="R94" s="1">
        <v>0</v>
      </c>
      <c r="S94" s="2">
        <v>0</v>
      </c>
      <c r="T94" s="1">
        <v>20</v>
      </c>
      <c r="U94" s="17">
        <v>0.920818198615511</v>
      </c>
      <c r="V94" s="4">
        <v>47.7</v>
      </c>
      <c r="W94" s="1">
        <v>19.1</v>
      </c>
      <c r="X94" s="8">
        <v>29.3965483309568</v>
      </c>
      <c r="Y94" s="18">
        <v>1.63198021889895</v>
      </c>
      <c r="Z94" s="3">
        <v>0.0520374097251558</v>
      </c>
    </row>
    <row r="95" spans="2:26">
      <c r="B95" s="1">
        <v>55</v>
      </c>
      <c r="C95" s="1">
        <v>4.8</v>
      </c>
      <c r="D95" s="1">
        <v>8</v>
      </c>
      <c r="E95" s="1">
        <v>0</v>
      </c>
      <c r="F95" s="2">
        <v>0</v>
      </c>
      <c r="G95" s="1">
        <v>20</v>
      </c>
      <c r="H95" s="3">
        <v>0.89760467536325</v>
      </c>
      <c r="I95" s="4">
        <v>52.2</v>
      </c>
      <c r="J95" s="1">
        <v>13</v>
      </c>
      <c r="K95" s="7">
        <v>21.5848864410167</v>
      </c>
      <c r="L95" s="8">
        <v>0.806098163256692</v>
      </c>
      <c r="M95" s="9">
        <v>0.0607848387370898</v>
      </c>
      <c r="O95" s="1">
        <v>55</v>
      </c>
      <c r="P95" s="1">
        <v>4.8</v>
      </c>
      <c r="Q95" s="1">
        <v>8</v>
      </c>
      <c r="R95" s="1">
        <v>0</v>
      </c>
      <c r="S95" s="2">
        <v>0</v>
      </c>
      <c r="T95" s="1">
        <v>20</v>
      </c>
      <c r="U95" s="17">
        <v>0.89760467536325</v>
      </c>
      <c r="V95" s="4">
        <v>52.2</v>
      </c>
      <c r="W95" s="1">
        <v>13</v>
      </c>
      <c r="X95" s="8">
        <v>21.5848864410167</v>
      </c>
      <c r="Y95" s="18">
        <v>0.806098163256692</v>
      </c>
      <c r="Z95" s="3">
        <v>0.0607848387370898</v>
      </c>
    </row>
    <row r="96" spans="2:26">
      <c r="B96" s="1">
        <v>55</v>
      </c>
      <c r="C96" s="1">
        <v>5.6</v>
      </c>
      <c r="D96" s="1">
        <v>8</v>
      </c>
      <c r="E96" s="1">
        <v>0</v>
      </c>
      <c r="F96" s="2">
        <v>0</v>
      </c>
      <c r="G96" s="1">
        <v>20</v>
      </c>
      <c r="H96" s="3">
        <v>0.89760467536325</v>
      </c>
      <c r="I96" s="4">
        <v>52.4</v>
      </c>
      <c r="J96" s="1">
        <v>15.4</v>
      </c>
      <c r="K96" s="7">
        <v>23.9642573111443</v>
      </c>
      <c r="L96" s="8">
        <v>0.941025566457305</v>
      </c>
      <c r="M96" s="9">
        <v>0.0603042457692971</v>
      </c>
      <c r="O96" s="1">
        <v>55</v>
      </c>
      <c r="P96" s="1">
        <v>5.6</v>
      </c>
      <c r="Q96" s="1">
        <v>8</v>
      </c>
      <c r="R96" s="1">
        <v>0</v>
      </c>
      <c r="S96" s="2">
        <v>0</v>
      </c>
      <c r="T96" s="1">
        <v>20</v>
      </c>
      <c r="U96" s="17">
        <v>0.89760467536325</v>
      </c>
      <c r="V96" s="4">
        <v>52.4</v>
      </c>
      <c r="W96" s="1">
        <v>15.4</v>
      </c>
      <c r="X96" s="8">
        <v>23.9642573111443</v>
      </c>
      <c r="Y96" s="18">
        <v>0.941025566457305</v>
      </c>
      <c r="Z96" s="3">
        <v>0.0603042457692971</v>
      </c>
    </row>
    <row r="97" spans="2:26">
      <c r="B97" s="1">
        <v>55</v>
      </c>
      <c r="C97" s="1">
        <v>6.4</v>
      </c>
      <c r="D97" s="1">
        <v>8</v>
      </c>
      <c r="E97" s="1">
        <v>0</v>
      </c>
      <c r="F97" s="2">
        <v>0</v>
      </c>
      <c r="G97" s="1">
        <v>20</v>
      </c>
      <c r="H97" s="3">
        <v>0.89760467536325</v>
      </c>
      <c r="I97" s="4">
        <v>52.5</v>
      </c>
      <c r="J97" s="1">
        <v>16.2</v>
      </c>
      <c r="K97" s="7">
        <v>25.9607511251029</v>
      </c>
      <c r="L97" s="8">
        <v>1.03726127967092</v>
      </c>
      <c r="M97" s="9">
        <v>0.055178073253112</v>
      </c>
      <c r="O97" s="1">
        <v>55</v>
      </c>
      <c r="P97" s="1">
        <v>6.4</v>
      </c>
      <c r="Q97" s="1">
        <v>8</v>
      </c>
      <c r="R97" s="1">
        <v>0</v>
      </c>
      <c r="S97" s="2">
        <v>0</v>
      </c>
      <c r="T97" s="1">
        <v>20</v>
      </c>
      <c r="U97" s="17">
        <v>0.89760467536325</v>
      </c>
      <c r="V97" s="4">
        <v>52.5</v>
      </c>
      <c r="W97" s="1">
        <v>16.2</v>
      </c>
      <c r="X97" s="8">
        <v>25.9607511251029</v>
      </c>
      <c r="Y97" s="18">
        <v>1.03726127967092</v>
      </c>
      <c r="Z97" s="3">
        <v>0.055178073253112</v>
      </c>
    </row>
    <row r="98" spans="2:26">
      <c r="B98" s="1">
        <v>55</v>
      </c>
      <c r="C98" s="1">
        <v>7.2</v>
      </c>
      <c r="D98" s="1">
        <v>8</v>
      </c>
      <c r="E98" s="1">
        <v>0</v>
      </c>
      <c r="F98" s="2">
        <v>0</v>
      </c>
      <c r="G98" s="1">
        <v>20</v>
      </c>
      <c r="H98" s="3">
        <v>0.89760467536325</v>
      </c>
      <c r="I98" s="4">
        <v>52.6</v>
      </c>
      <c r="J98" s="1">
        <v>18</v>
      </c>
      <c r="K98" s="7">
        <v>28.2369638300778</v>
      </c>
      <c r="L98" s="8">
        <v>1.1785293166965</v>
      </c>
      <c r="M98" s="9">
        <v>0.0538817380993863</v>
      </c>
      <c r="O98" s="1">
        <v>55</v>
      </c>
      <c r="P98" s="1">
        <v>7.2</v>
      </c>
      <c r="Q98" s="1">
        <v>8</v>
      </c>
      <c r="R98" s="1">
        <v>0</v>
      </c>
      <c r="S98" s="2">
        <v>0</v>
      </c>
      <c r="T98" s="1">
        <v>20</v>
      </c>
      <c r="U98" s="17">
        <v>0.89760467536325</v>
      </c>
      <c r="V98" s="4">
        <v>52.6</v>
      </c>
      <c r="W98" s="1">
        <v>18</v>
      </c>
      <c r="X98" s="8">
        <v>28.2369638300778</v>
      </c>
      <c r="Y98" s="18">
        <v>1.1785293166965</v>
      </c>
      <c r="Z98" s="3">
        <v>0.0538817380993863</v>
      </c>
    </row>
    <row r="99" spans="2:26">
      <c r="B99" s="1">
        <v>55</v>
      </c>
      <c r="C99" s="1">
        <v>8</v>
      </c>
      <c r="D99" s="1">
        <v>8</v>
      </c>
      <c r="E99" s="1">
        <v>0</v>
      </c>
      <c r="F99" s="2">
        <v>0</v>
      </c>
      <c r="G99" s="1">
        <v>20</v>
      </c>
      <c r="H99" s="3">
        <v>0.89760467536325</v>
      </c>
      <c r="I99" s="4">
        <v>52.7</v>
      </c>
      <c r="J99" s="1">
        <v>19.1</v>
      </c>
      <c r="K99" s="7">
        <v>30.0298600509145</v>
      </c>
      <c r="L99" s="8">
        <v>1.28888153739569</v>
      </c>
      <c r="M99" s="9">
        <v>0.0511643795318095</v>
      </c>
      <c r="O99" s="1">
        <v>55</v>
      </c>
      <c r="P99" s="1">
        <v>8</v>
      </c>
      <c r="Q99" s="1">
        <v>8</v>
      </c>
      <c r="R99" s="1">
        <v>0</v>
      </c>
      <c r="S99" s="2">
        <v>0</v>
      </c>
      <c r="T99" s="1">
        <v>20</v>
      </c>
      <c r="U99" s="17">
        <v>0.89760467536325</v>
      </c>
      <c r="V99" s="4">
        <v>52.7</v>
      </c>
      <c r="W99" s="1">
        <v>19.1</v>
      </c>
      <c r="X99" s="8">
        <v>30.0298600509145</v>
      </c>
      <c r="Y99" s="18">
        <v>1.28888153739569</v>
      </c>
      <c r="Z99" s="3">
        <v>0.0511643795318095</v>
      </c>
    </row>
    <row r="100" spans="2:26">
      <c r="B100" s="1">
        <v>55</v>
      </c>
      <c r="C100" s="1">
        <v>8.8</v>
      </c>
      <c r="D100" s="1">
        <v>8</v>
      </c>
      <c r="E100" s="1">
        <v>0</v>
      </c>
      <c r="F100" s="2">
        <v>0</v>
      </c>
      <c r="G100" s="1">
        <v>20</v>
      </c>
      <c r="H100" s="3">
        <v>0.89760467536325</v>
      </c>
      <c r="I100" s="4">
        <v>52.8</v>
      </c>
      <c r="J100" s="1">
        <v>19.9</v>
      </c>
      <c r="K100" s="7">
        <v>31.515858137512</v>
      </c>
      <c r="L100" s="8">
        <v>1.38123816368659</v>
      </c>
      <c r="M100" s="9">
        <v>0.0482832736295135</v>
      </c>
      <c r="O100" s="1">
        <v>55</v>
      </c>
      <c r="P100" s="1">
        <v>8.8</v>
      </c>
      <c r="Q100" s="1">
        <v>8</v>
      </c>
      <c r="R100" s="1">
        <v>0</v>
      </c>
      <c r="S100" s="2">
        <v>0</v>
      </c>
      <c r="T100" s="1">
        <v>20</v>
      </c>
      <c r="U100" s="17">
        <v>0.89760467536325</v>
      </c>
      <c r="V100" s="4">
        <v>52.8</v>
      </c>
      <c r="W100" s="1">
        <v>19.9</v>
      </c>
      <c r="X100" s="8">
        <v>31.515858137512</v>
      </c>
      <c r="Y100" s="18">
        <v>1.38123816368659</v>
      </c>
      <c r="Z100" s="3">
        <v>0.0482832736295135</v>
      </c>
    </row>
    <row r="101" spans="2:26">
      <c r="B101" s="1">
        <v>55</v>
      </c>
      <c r="C101" s="1">
        <v>9.6</v>
      </c>
      <c r="D101" s="1">
        <v>8</v>
      </c>
      <c r="E101" s="1">
        <v>0</v>
      </c>
      <c r="F101" s="2">
        <v>0</v>
      </c>
      <c r="G101" s="1">
        <v>20</v>
      </c>
      <c r="H101" s="3">
        <v>0.89760467536325</v>
      </c>
      <c r="I101" s="4">
        <v>52.7</v>
      </c>
      <c r="J101" s="1">
        <v>20.3</v>
      </c>
      <c r="K101" s="7">
        <v>34.6761239216852</v>
      </c>
      <c r="L101" s="8">
        <v>1.54025097698329</v>
      </c>
      <c r="M101" s="9">
        <v>0.0450610943287783</v>
      </c>
      <c r="O101" s="1">
        <v>55</v>
      </c>
      <c r="P101" s="1">
        <v>9.6</v>
      </c>
      <c r="Q101" s="1">
        <v>8</v>
      </c>
      <c r="R101" s="1">
        <v>0</v>
      </c>
      <c r="S101" s="2">
        <v>0</v>
      </c>
      <c r="T101" s="1">
        <v>20</v>
      </c>
      <c r="U101" s="17">
        <v>0.89760467536325</v>
      </c>
      <c r="V101" s="4">
        <v>52.7</v>
      </c>
      <c r="W101" s="1">
        <v>20.3</v>
      </c>
      <c r="X101" s="8">
        <v>34.6761239216852</v>
      </c>
      <c r="Y101" s="18">
        <v>1.54025097698329</v>
      </c>
      <c r="Z101" s="3">
        <v>0.0450610943287783</v>
      </c>
    </row>
    <row r="102" spans="2:26">
      <c r="B102" s="1">
        <v>60</v>
      </c>
      <c r="C102" s="1">
        <v>4.8</v>
      </c>
      <c r="D102" s="1">
        <v>8</v>
      </c>
      <c r="E102" s="1">
        <v>0</v>
      </c>
      <c r="F102" s="2">
        <v>0</v>
      </c>
      <c r="G102" s="1">
        <v>20</v>
      </c>
      <c r="H102" s="3">
        <v>0.868253123396246</v>
      </c>
      <c r="I102" s="4">
        <v>56.8</v>
      </c>
      <c r="J102" s="1">
        <v>18.5</v>
      </c>
      <c r="K102" s="7">
        <v>30.0680755703861</v>
      </c>
      <c r="L102" s="8">
        <v>1.05620484771505</v>
      </c>
      <c r="M102" s="9">
        <v>0.0681138293499978</v>
      </c>
      <c r="O102" s="1">
        <v>60</v>
      </c>
      <c r="P102" s="1">
        <v>4.8</v>
      </c>
      <c r="Q102" s="1">
        <v>8</v>
      </c>
      <c r="R102" s="1">
        <v>0</v>
      </c>
      <c r="S102" s="2">
        <v>0</v>
      </c>
      <c r="T102" s="1">
        <v>20</v>
      </c>
      <c r="U102" s="17">
        <v>0.868253123396246</v>
      </c>
      <c r="V102" s="4">
        <v>56.8</v>
      </c>
      <c r="W102" s="1">
        <v>18.5</v>
      </c>
      <c r="X102" s="8">
        <v>30.0680755703861</v>
      </c>
      <c r="Y102" s="18">
        <v>1.05620484771505</v>
      </c>
      <c r="Z102" s="3">
        <v>0.0681138293499978</v>
      </c>
    </row>
    <row r="103" spans="2:26">
      <c r="B103" s="1">
        <v>60</v>
      </c>
      <c r="C103" s="1">
        <v>5.6</v>
      </c>
      <c r="D103" s="1">
        <v>8</v>
      </c>
      <c r="E103" s="1">
        <v>0</v>
      </c>
      <c r="F103" s="2">
        <v>0</v>
      </c>
      <c r="G103" s="1">
        <v>20</v>
      </c>
      <c r="H103" s="3">
        <v>0.868253123396246</v>
      </c>
      <c r="I103" s="4">
        <v>57</v>
      </c>
      <c r="J103" s="1">
        <v>20.6</v>
      </c>
      <c r="K103" s="7">
        <v>33.0887135475533</v>
      </c>
      <c r="L103" s="8">
        <v>1.2138384876007</v>
      </c>
      <c r="M103" s="9">
        <v>0.0643802172264856</v>
      </c>
      <c r="O103" s="1">
        <v>60</v>
      </c>
      <c r="P103" s="1">
        <v>5.6</v>
      </c>
      <c r="Q103" s="1">
        <v>8</v>
      </c>
      <c r="R103" s="1">
        <v>0</v>
      </c>
      <c r="S103" s="2">
        <v>0</v>
      </c>
      <c r="T103" s="1">
        <v>20</v>
      </c>
      <c r="U103" s="17">
        <v>0.868253123396246</v>
      </c>
      <c r="V103" s="4">
        <v>57</v>
      </c>
      <c r="W103" s="1">
        <v>20.6</v>
      </c>
      <c r="X103" s="8">
        <v>33.0887135475533</v>
      </c>
      <c r="Y103" s="18">
        <v>1.2138384876007</v>
      </c>
      <c r="Z103" s="3">
        <v>0.0643802172264856</v>
      </c>
    </row>
    <row r="104" spans="2:26">
      <c r="B104" s="1">
        <v>60</v>
      </c>
      <c r="C104" s="1">
        <v>6.4</v>
      </c>
      <c r="D104" s="1">
        <v>8</v>
      </c>
      <c r="E104" s="1">
        <v>0</v>
      </c>
      <c r="F104" s="2">
        <v>0</v>
      </c>
      <c r="G104" s="1">
        <v>20</v>
      </c>
      <c r="H104" s="3">
        <v>0.868253123396246</v>
      </c>
      <c r="I104" s="4">
        <v>57.2</v>
      </c>
      <c r="J104" s="1">
        <v>21.8</v>
      </c>
      <c r="K104" s="7">
        <v>35.2877387934744</v>
      </c>
      <c r="L104" s="8">
        <v>1.32772376962272</v>
      </c>
      <c r="M104" s="9">
        <v>0.0593401577837479</v>
      </c>
      <c r="O104" s="1">
        <v>60</v>
      </c>
      <c r="P104" s="1">
        <v>6.4</v>
      </c>
      <c r="Q104" s="1">
        <v>8</v>
      </c>
      <c r="R104" s="1">
        <v>0</v>
      </c>
      <c r="S104" s="2">
        <v>0</v>
      </c>
      <c r="T104" s="1">
        <v>20</v>
      </c>
      <c r="U104" s="17">
        <v>0.868253123396246</v>
      </c>
      <c r="V104" s="4">
        <v>57.2</v>
      </c>
      <c r="W104" s="1">
        <v>21.8</v>
      </c>
      <c r="X104" s="8">
        <v>35.2877387934744</v>
      </c>
      <c r="Y104" s="18">
        <v>1.32772376962272</v>
      </c>
      <c r="Z104" s="3">
        <v>0.0593401577837479</v>
      </c>
    </row>
    <row r="105" spans="2:26">
      <c r="B105" s="1">
        <v>60</v>
      </c>
      <c r="C105" s="1">
        <v>7.2</v>
      </c>
      <c r="D105" s="1">
        <v>8</v>
      </c>
      <c r="E105" s="1">
        <v>0</v>
      </c>
      <c r="F105" s="2">
        <v>0</v>
      </c>
      <c r="G105" s="1">
        <v>20</v>
      </c>
      <c r="H105" s="3">
        <v>0.868253123396246</v>
      </c>
      <c r="I105" s="4">
        <v>57.4</v>
      </c>
      <c r="J105" s="1">
        <v>22.9</v>
      </c>
      <c r="K105" s="7">
        <v>37.0175200092065</v>
      </c>
      <c r="L105" s="8">
        <v>1.42707507078842</v>
      </c>
      <c r="M105" s="9">
        <v>0.0551961057442439</v>
      </c>
      <c r="O105" s="1">
        <v>60</v>
      </c>
      <c r="P105" s="1">
        <v>7.2</v>
      </c>
      <c r="Q105" s="1">
        <v>8</v>
      </c>
      <c r="R105" s="1">
        <v>0</v>
      </c>
      <c r="S105" s="2">
        <v>0</v>
      </c>
      <c r="T105" s="1">
        <v>20</v>
      </c>
      <c r="U105" s="17">
        <v>0.868253123396246</v>
      </c>
      <c r="V105" s="4">
        <v>57.4</v>
      </c>
      <c r="W105" s="1">
        <v>22.9</v>
      </c>
      <c r="X105" s="8">
        <v>37.0175200092065</v>
      </c>
      <c r="Y105" s="18">
        <v>1.42707507078842</v>
      </c>
      <c r="Z105" s="3">
        <v>0.0551961057442439</v>
      </c>
    </row>
    <row r="106" spans="2:26">
      <c r="B106" s="1">
        <v>60</v>
      </c>
      <c r="C106" s="1">
        <v>8</v>
      </c>
      <c r="D106" s="1">
        <v>8</v>
      </c>
      <c r="E106" s="1">
        <v>0</v>
      </c>
      <c r="F106" s="2">
        <v>0</v>
      </c>
      <c r="G106" s="1">
        <v>20</v>
      </c>
      <c r="H106" s="3">
        <v>0.868253123396246</v>
      </c>
      <c r="I106" s="4">
        <v>57.6</v>
      </c>
      <c r="J106" s="1">
        <v>24.1</v>
      </c>
      <c r="K106" s="7">
        <v>38.3601971550535</v>
      </c>
      <c r="L106" s="8">
        <v>1.52147668348635</v>
      </c>
      <c r="M106" s="9">
        <v>0.0520739423523567</v>
      </c>
      <c r="O106" s="1">
        <v>60</v>
      </c>
      <c r="P106" s="1">
        <v>8</v>
      </c>
      <c r="Q106" s="1">
        <v>8</v>
      </c>
      <c r="R106" s="1">
        <v>0</v>
      </c>
      <c r="S106" s="2">
        <v>0</v>
      </c>
      <c r="T106" s="1">
        <v>20</v>
      </c>
      <c r="U106" s="17">
        <v>0.868253123396246</v>
      </c>
      <c r="V106" s="4">
        <v>57.6</v>
      </c>
      <c r="W106" s="1">
        <v>24.1</v>
      </c>
      <c r="X106" s="8">
        <v>38.3601971550535</v>
      </c>
      <c r="Y106" s="18">
        <v>1.52147668348635</v>
      </c>
      <c r="Z106" s="3">
        <v>0.0520739423523567</v>
      </c>
    </row>
    <row r="107" spans="2:26">
      <c r="B107" s="1">
        <v>60</v>
      </c>
      <c r="C107" s="1">
        <v>8.8</v>
      </c>
      <c r="D107" s="1">
        <v>8</v>
      </c>
      <c r="E107" s="1">
        <v>0</v>
      </c>
      <c r="F107" s="2">
        <v>0</v>
      </c>
      <c r="G107" s="1">
        <v>20</v>
      </c>
      <c r="H107" s="3">
        <v>0.868253123396246</v>
      </c>
      <c r="I107" s="4">
        <v>57.7</v>
      </c>
      <c r="J107" s="1">
        <v>24.9</v>
      </c>
      <c r="K107" s="7">
        <v>40.2348767482922</v>
      </c>
      <c r="L107" s="8">
        <v>1.62891673060532</v>
      </c>
      <c r="M107" s="9">
        <v>0.048785586004549</v>
      </c>
      <c r="O107" s="1">
        <v>60</v>
      </c>
      <c r="P107" s="1">
        <v>8.8</v>
      </c>
      <c r="Q107" s="1">
        <v>8</v>
      </c>
      <c r="R107" s="1">
        <v>0</v>
      </c>
      <c r="S107" s="2">
        <v>0</v>
      </c>
      <c r="T107" s="1">
        <v>20</v>
      </c>
      <c r="U107" s="17">
        <v>0.868253123396246</v>
      </c>
      <c r="V107" s="4">
        <v>57.7</v>
      </c>
      <c r="W107" s="1">
        <v>24.9</v>
      </c>
      <c r="X107" s="8">
        <v>40.2348767482922</v>
      </c>
      <c r="Y107" s="18">
        <v>1.62891673060532</v>
      </c>
      <c r="Z107" s="3">
        <v>0.048785586004549</v>
      </c>
    </row>
    <row r="108" spans="2:26">
      <c r="B108" s="1">
        <v>60</v>
      </c>
      <c r="C108" s="1">
        <v>9.6</v>
      </c>
      <c r="D108" s="1">
        <v>8</v>
      </c>
      <c r="E108" s="1">
        <v>0</v>
      </c>
      <c r="F108" s="2">
        <v>0</v>
      </c>
      <c r="G108" s="1">
        <v>20</v>
      </c>
      <c r="H108" s="3">
        <v>0.868253123396246</v>
      </c>
      <c r="I108" s="4">
        <v>57.8</v>
      </c>
      <c r="J108" s="1">
        <v>25.6</v>
      </c>
      <c r="K108" s="7">
        <v>41.8489853482828</v>
      </c>
      <c r="L108" s="8">
        <v>1.72596821702717</v>
      </c>
      <c r="M108" s="9">
        <v>0.0458764698228024</v>
      </c>
      <c r="O108" s="1">
        <v>60</v>
      </c>
      <c r="P108" s="1">
        <v>9.6</v>
      </c>
      <c r="Q108" s="1">
        <v>8</v>
      </c>
      <c r="R108" s="1">
        <v>0</v>
      </c>
      <c r="S108" s="2">
        <v>0</v>
      </c>
      <c r="T108" s="1">
        <v>20</v>
      </c>
      <c r="U108" s="17">
        <v>0.868253123396246</v>
      </c>
      <c r="V108" s="4">
        <v>57.8</v>
      </c>
      <c r="W108" s="1">
        <v>25.6</v>
      </c>
      <c r="X108" s="8">
        <v>41.8489853482828</v>
      </c>
      <c r="Y108" s="18">
        <v>1.72596821702717</v>
      </c>
      <c r="Z108" s="3">
        <v>0.0458764698228024</v>
      </c>
    </row>
    <row r="109" spans="2:26">
      <c r="B109" s="1">
        <v>65</v>
      </c>
      <c r="C109" s="1">
        <v>4.4</v>
      </c>
      <c r="D109" s="1">
        <v>8</v>
      </c>
      <c r="E109" s="1">
        <v>0</v>
      </c>
      <c r="F109" s="2">
        <v>0</v>
      </c>
      <c r="G109" s="1">
        <v>20</v>
      </c>
      <c r="H109" s="3">
        <v>0.831152647810126</v>
      </c>
      <c r="I109" s="4">
        <v>62.5</v>
      </c>
      <c r="J109" s="1">
        <v>20.1</v>
      </c>
      <c r="K109" s="7">
        <v>29.043620905802</v>
      </c>
      <c r="L109" s="8">
        <v>0.882259842034708</v>
      </c>
      <c r="M109" s="9">
        <v>0.0663103488352499</v>
      </c>
      <c r="O109" s="1">
        <v>65</v>
      </c>
      <c r="P109" s="1">
        <v>4.4</v>
      </c>
      <c r="Q109" s="1">
        <v>8</v>
      </c>
      <c r="R109" s="1">
        <v>0</v>
      </c>
      <c r="S109" s="2">
        <v>0</v>
      </c>
      <c r="T109" s="1">
        <v>20</v>
      </c>
      <c r="U109" s="17">
        <v>0.831152647810126</v>
      </c>
      <c r="V109" s="4">
        <v>62.5</v>
      </c>
      <c r="W109" s="1">
        <v>20.1</v>
      </c>
      <c r="X109" s="8">
        <v>29.043620905802</v>
      </c>
      <c r="Y109" s="18">
        <v>0.882259842034708</v>
      </c>
      <c r="Z109" s="3">
        <v>0.0663103488352499</v>
      </c>
    </row>
    <row r="110" spans="2:26">
      <c r="B110" s="1">
        <v>65</v>
      </c>
      <c r="C110" s="1">
        <v>4.8</v>
      </c>
      <c r="D110" s="1">
        <v>8</v>
      </c>
      <c r="E110" s="1">
        <v>0</v>
      </c>
      <c r="F110" s="2">
        <v>0</v>
      </c>
      <c r="G110" s="1">
        <v>20</v>
      </c>
      <c r="H110" s="3">
        <v>0.831152647810126</v>
      </c>
      <c r="I110" s="4">
        <v>62.7</v>
      </c>
      <c r="J110" s="1">
        <v>22.5</v>
      </c>
      <c r="K110" s="7">
        <v>30.3062444303903</v>
      </c>
      <c r="L110" s="8">
        <v>0.96122347120023</v>
      </c>
      <c r="M110" s="9">
        <v>0.0674003398588235</v>
      </c>
      <c r="O110" s="1">
        <v>65</v>
      </c>
      <c r="P110" s="1">
        <v>4.8</v>
      </c>
      <c r="Q110" s="1">
        <v>8</v>
      </c>
      <c r="R110" s="1">
        <v>0</v>
      </c>
      <c r="S110" s="2">
        <v>0</v>
      </c>
      <c r="T110" s="1">
        <v>20</v>
      </c>
      <c r="U110" s="17">
        <v>0.831152647810126</v>
      </c>
      <c r="V110" s="4">
        <v>62.7</v>
      </c>
      <c r="W110" s="1">
        <v>22.5</v>
      </c>
      <c r="X110" s="8">
        <v>30.3062444303903</v>
      </c>
      <c r="Y110" s="18">
        <v>0.96122347120023</v>
      </c>
      <c r="Z110" s="3">
        <v>0.0674003398588235</v>
      </c>
    </row>
    <row r="111" spans="2:26">
      <c r="B111" s="1">
        <v>65</v>
      </c>
      <c r="C111" s="1">
        <v>5.6</v>
      </c>
      <c r="D111" s="1">
        <v>8</v>
      </c>
      <c r="E111" s="1">
        <v>0</v>
      </c>
      <c r="F111" s="2">
        <v>0</v>
      </c>
      <c r="G111" s="1">
        <v>20</v>
      </c>
      <c r="H111" s="3">
        <v>0.831152647810126</v>
      </c>
      <c r="I111" s="4">
        <v>63</v>
      </c>
      <c r="J111" s="1">
        <v>24.4</v>
      </c>
      <c r="K111" s="7">
        <v>31.6117627483921</v>
      </c>
      <c r="L111" s="8">
        <v>1.03854383810953</v>
      </c>
      <c r="M111" s="9">
        <v>0.0622567460125781</v>
      </c>
      <c r="O111" s="1">
        <v>65</v>
      </c>
      <c r="P111" s="1">
        <v>5.6</v>
      </c>
      <c r="Q111" s="1">
        <v>8</v>
      </c>
      <c r="R111" s="1">
        <v>0</v>
      </c>
      <c r="S111" s="2">
        <v>0</v>
      </c>
      <c r="T111" s="1">
        <v>20</v>
      </c>
      <c r="U111" s="17">
        <v>0.831152647810126</v>
      </c>
      <c r="V111" s="4">
        <v>63</v>
      </c>
      <c r="W111" s="1">
        <v>24.4</v>
      </c>
      <c r="X111" s="8">
        <v>31.6117627483921</v>
      </c>
      <c r="Y111" s="18">
        <v>1.03854383810953</v>
      </c>
      <c r="Z111" s="3">
        <v>0.0622567460125781</v>
      </c>
    </row>
    <row r="112" spans="2:26">
      <c r="B112" s="1">
        <v>65</v>
      </c>
      <c r="C112" s="1">
        <v>6.4</v>
      </c>
      <c r="D112" s="1">
        <v>8</v>
      </c>
      <c r="E112" s="1">
        <v>0</v>
      </c>
      <c r="F112" s="2">
        <v>0</v>
      </c>
      <c r="G112" s="1">
        <v>20</v>
      </c>
      <c r="H112" s="3">
        <v>0.831152647810126</v>
      </c>
      <c r="I112" s="4">
        <v>63.1</v>
      </c>
      <c r="J112" s="1">
        <v>25.7</v>
      </c>
      <c r="K112" s="7">
        <v>33.9455049401429</v>
      </c>
      <c r="L112" s="8">
        <v>1.14590026614056</v>
      </c>
      <c r="M112" s="9">
        <v>0.0571349160848518</v>
      </c>
      <c r="O112" s="1">
        <v>65</v>
      </c>
      <c r="P112" s="1">
        <v>6.4</v>
      </c>
      <c r="Q112" s="1">
        <v>8</v>
      </c>
      <c r="R112" s="1">
        <v>0</v>
      </c>
      <c r="S112" s="2">
        <v>0</v>
      </c>
      <c r="T112" s="1">
        <v>20</v>
      </c>
      <c r="U112" s="17">
        <v>0.831152647810126</v>
      </c>
      <c r="V112" s="4">
        <v>63.1</v>
      </c>
      <c r="W112" s="1">
        <v>25.7</v>
      </c>
      <c r="X112" s="8">
        <v>33.9455049401429</v>
      </c>
      <c r="Y112" s="18">
        <v>1.14590026614056</v>
      </c>
      <c r="Z112" s="3">
        <v>0.0571349160848518</v>
      </c>
    </row>
    <row r="113" spans="2:26">
      <c r="B113" s="1">
        <v>65</v>
      </c>
      <c r="C113" s="1">
        <v>7.2</v>
      </c>
      <c r="D113" s="1">
        <v>8</v>
      </c>
      <c r="E113" s="1">
        <v>0</v>
      </c>
      <c r="F113" s="2">
        <v>0</v>
      </c>
      <c r="G113" s="1">
        <v>20</v>
      </c>
      <c r="H113" s="3">
        <v>0.831152647810126</v>
      </c>
      <c r="I113" s="4">
        <v>63.5</v>
      </c>
      <c r="J113" s="1">
        <v>26.8</v>
      </c>
      <c r="K113" s="7">
        <v>32.258874575519</v>
      </c>
      <c r="L113" s="8">
        <v>1.11100500439504</v>
      </c>
      <c r="M113" s="9">
        <v>0.0527981409865419</v>
      </c>
      <c r="O113" s="1">
        <v>65</v>
      </c>
      <c r="P113" s="1">
        <v>7.2</v>
      </c>
      <c r="Q113" s="1">
        <v>8</v>
      </c>
      <c r="R113" s="1">
        <v>0</v>
      </c>
      <c r="S113" s="2">
        <v>0</v>
      </c>
      <c r="T113" s="1">
        <v>20</v>
      </c>
      <c r="U113" s="17">
        <v>0.831152647810126</v>
      </c>
      <c r="V113" s="4">
        <v>63.5</v>
      </c>
      <c r="W113" s="1">
        <v>26.8</v>
      </c>
      <c r="X113" s="8">
        <v>32.258874575519</v>
      </c>
      <c r="Y113" s="18">
        <v>1.11100500439504</v>
      </c>
      <c r="Z113" s="3">
        <v>0.0527981409865419</v>
      </c>
    </row>
    <row r="114" spans="2:26">
      <c r="B114" s="1">
        <v>65</v>
      </c>
      <c r="C114" s="1">
        <v>8</v>
      </c>
      <c r="D114" s="1">
        <v>8</v>
      </c>
      <c r="E114" s="1">
        <v>0</v>
      </c>
      <c r="F114" s="2">
        <v>0</v>
      </c>
      <c r="G114" s="1">
        <v>20</v>
      </c>
      <c r="H114" s="3">
        <v>0.831152647810126</v>
      </c>
      <c r="I114" s="4">
        <v>63.7</v>
      </c>
      <c r="J114" s="1">
        <v>27.5</v>
      </c>
      <c r="K114" s="7">
        <v>31.9634900891628</v>
      </c>
      <c r="L114" s="8">
        <v>1.11646179900987</v>
      </c>
      <c r="M114" s="9">
        <v>0.0486598185558804</v>
      </c>
      <c r="O114" s="1">
        <v>65</v>
      </c>
      <c r="P114" s="1">
        <v>8</v>
      </c>
      <c r="Q114" s="1">
        <v>8</v>
      </c>
      <c r="R114" s="1">
        <v>0</v>
      </c>
      <c r="S114" s="2">
        <v>0</v>
      </c>
      <c r="T114" s="1">
        <v>20</v>
      </c>
      <c r="U114" s="17">
        <v>0.831152647810126</v>
      </c>
      <c r="V114" s="4">
        <v>63.7</v>
      </c>
      <c r="W114" s="1">
        <v>27.5</v>
      </c>
      <c r="X114" s="8">
        <v>31.9634900891628</v>
      </c>
      <c r="Y114" s="18">
        <v>1.11646179900987</v>
      </c>
      <c r="Z114" s="3">
        <v>0.0486598185558804</v>
      </c>
    </row>
    <row r="115" spans="2:26">
      <c r="B115" s="1">
        <v>65</v>
      </c>
      <c r="C115" s="1">
        <v>8.8</v>
      </c>
      <c r="D115" s="1">
        <v>8</v>
      </c>
      <c r="E115" s="1">
        <v>0</v>
      </c>
      <c r="F115" s="2">
        <v>0</v>
      </c>
      <c r="G115" s="1">
        <v>20</v>
      </c>
      <c r="H115" s="3">
        <v>0.831152647810126</v>
      </c>
      <c r="I115" s="4">
        <v>63.8</v>
      </c>
      <c r="J115" s="1">
        <v>28.1</v>
      </c>
      <c r="K115" s="7">
        <v>32.5708651981086</v>
      </c>
      <c r="L115" s="8">
        <v>1.15308151344046</v>
      </c>
      <c r="M115" s="9">
        <v>0.0451163339088206</v>
      </c>
      <c r="O115" s="1">
        <v>65</v>
      </c>
      <c r="P115" s="1">
        <v>8.8</v>
      </c>
      <c r="Q115" s="1">
        <v>8</v>
      </c>
      <c r="R115" s="1">
        <v>0</v>
      </c>
      <c r="S115" s="2">
        <v>0</v>
      </c>
      <c r="T115" s="1">
        <v>20</v>
      </c>
      <c r="U115" s="17">
        <v>0.831152647810126</v>
      </c>
      <c r="V115" s="4">
        <v>63.8</v>
      </c>
      <c r="W115" s="1">
        <v>28.1</v>
      </c>
      <c r="X115" s="8">
        <v>32.5708651981086</v>
      </c>
      <c r="Y115" s="18">
        <v>1.15308151344046</v>
      </c>
      <c r="Z115" s="3">
        <v>0.0451163339088206</v>
      </c>
    </row>
    <row r="116" spans="2:26">
      <c r="B116" s="1">
        <v>65</v>
      </c>
      <c r="C116" s="1">
        <v>9.6</v>
      </c>
      <c r="D116" s="1">
        <v>8</v>
      </c>
      <c r="E116" s="1">
        <v>0</v>
      </c>
      <c r="F116" s="2">
        <v>0</v>
      </c>
      <c r="G116" s="1">
        <v>20</v>
      </c>
      <c r="H116" s="3">
        <v>0.831152647810126</v>
      </c>
      <c r="I116" s="4">
        <v>63.8</v>
      </c>
      <c r="J116" s="1">
        <v>28.4</v>
      </c>
      <c r="K116" s="7">
        <v>34.4337384590528</v>
      </c>
      <c r="L116" s="8">
        <v>1.22826046692892</v>
      </c>
      <c r="M116" s="9">
        <v>0.0417552774812859</v>
      </c>
      <c r="O116" s="1">
        <v>65</v>
      </c>
      <c r="P116" s="1">
        <v>9.6</v>
      </c>
      <c r="Q116" s="1">
        <v>8</v>
      </c>
      <c r="R116" s="1">
        <v>0</v>
      </c>
      <c r="S116" s="2">
        <v>0</v>
      </c>
      <c r="T116" s="1">
        <v>20</v>
      </c>
      <c r="U116" s="17">
        <v>0.831152647810126</v>
      </c>
      <c r="V116" s="4">
        <v>63.8</v>
      </c>
      <c r="W116" s="1">
        <v>28.4</v>
      </c>
      <c r="X116" s="8">
        <v>34.4337384590528</v>
      </c>
      <c r="Y116" s="18">
        <v>1.22826046692892</v>
      </c>
      <c r="Z116" s="3">
        <v>0.0417552774812859</v>
      </c>
    </row>
    <row r="117" spans="2:26">
      <c r="B117" s="1">
        <v>50</v>
      </c>
      <c r="C117" s="1">
        <v>4.4</v>
      </c>
      <c r="D117" s="1">
        <v>2.9</v>
      </c>
      <c r="E117" s="1">
        <v>0</v>
      </c>
      <c r="F117" s="2">
        <v>0</v>
      </c>
      <c r="G117" s="1">
        <v>20</v>
      </c>
      <c r="H117" s="3">
        <v>0.920818198615511</v>
      </c>
      <c r="I117" s="4">
        <v>47.1</v>
      </c>
      <c r="J117" s="1">
        <v>12.3</v>
      </c>
      <c r="K117" s="7">
        <v>18.7640175405557</v>
      </c>
      <c r="L117" s="8">
        <v>0.850307600500626</v>
      </c>
      <c r="M117" s="9">
        <v>0.0887050385034643</v>
      </c>
      <c r="O117" s="1">
        <v>50</v>
      </c>
      <c r="P117" s="1">
        <v>4.4</v>
      </c>
      <c r="Q117" s="1">
        <v>2.9</v>
      </c>
      <c r="R117" s="1">
        <v>0</v>
      </c>
      <c r="S117" s="2">
        <v>0</v>
      </c>
      <c r="T117" s="1">
        <v>20</v>
      </c>
      <c r="U117" s="17">
        <v>0.920818198615511</v>
      </c>
      <c r="V117" s="4">
        <v>47.1</v>
      </c>
      <c r="W117" s="1">
        <v>12.3</v>
      </c>
      <c r="X117" s="8">
        <v>18.7640175405557</v>
      </c>
      <c r="Y117" s="18">
        <v>0.850307600500626</v>
      </c>
      <c r="Z117" s="3">
        <v>0.0887050385034643</v>
      </c>
    </row>
    <row r="118" spans="2:26">
      <c r="B118" s="1">
        <v>50</v>
      </c>
      <c r="C118" s="1">
        <v>4.8</v>
      </c>
      <c r="D118" s="1">
        <v>4.6</v>
      </c>
      <c r="E118" s="1">
        <v>0</v>
      </c>
      <c r="F118" s="2">
        <v>0</v>
      </c>
      <c r="G118" s="1">
        <v>20</v>
      </c>
      <c r="H118" s="3">
        <v>0.920818198615511</v>
      </c>
      <c r="I118" s="4">
        <v>46.2</v>
      </c>
      <c r="J118" s="1">
        <v>14.8</v>
      </c>
      <c r="K118" s="7">
        <v>27.3354028293562</v>
      </c>
      <c r="L118" s="8">
        <v>1.35301293627749</v>
      </c>
      <c r="M118" s="9">
        <v>0.125389516128291</v>
      </c>
      <c r="O118" s="1">
        <v>50</v>
      </c>
      <c r="P118" s="1">
        <v>4.8</v>
      </c>
      <c r="Q118" s="1">
        <v>4.6</v>
      </c>
      <c r="R118" s="1">
        <v>0</v>
      </c>
      <c r="S118" s="2">
        <v>0</v>
      </c>
      <c r="T118" s="1">
        <v>20</v>
      </c>
      <c r="U118" s="17">
        <v>0.920818198615511</v>
      </c>
      <c r="V118" s="4">
        <v>46.2</v>
      </c>
      <c r="W118" s="1">
        <v>14.8</v>
      </c>
      <c r="X118" s="8">
        <v>27.3354028293562</v>
      </c>
      <c r="Y118" s="18">
        <v>1.35301293627749</v>
      </c>
      <c r="Z118" s="3">
        <v>0.125389516128291</v>
      </c>
    </row>
    <row r="119" spans="2:26">
      <c r="B119" s="1">
        <v>50</v>
      </c>
      <c r="C119" s="1">
        <v>5.2</v>
      </c>
      <c r="D119" s="1">
        <v>6.3</v>
      </c>
      <c r="E119" s="1">
        <v>0</v>
      </c>
      <c r="F119" s="2">
        <v>0</v>
      </c>
      <c r="G119" s="1">
        <v>20</v>
      </c>
      <c r="H119" s="3">
        <v>0.920818198615511</v>
      </c>
      <c r="I119" s="4">
        <v>45.3</v>
      </c>
      <c r="J119" s="1">
        <v>16.6</v>
      </c>
      <c r="K119" s="7">
        <v>38.6576239037559</v>
      </c>
      <c r="L119" s="8">
        <v>2.06460847402313</v>
      </c>
      <c r="M119" s="9">
        <v>0.179756163510178</v>
      </c>
      <c r="O119" s="1">
        <v>50</v>
      </c>
      <c r="P119" s="1">
        <v>5.2</v>
      </c>
      <c r="Q119" s="1">
        <v>6.3</v>
      </c>
      <c r="R119" s="1">
        <v>0</v>
      </c>
      <c r="S119" s="2">
        <v>0</v>
      </c>
      <c r="T119" s="1">
        <v>20</v>
      </c>
      <c r="U119" s="17">
        <v>0.920818198615511</v>
      </c>
      <c r="V119" s="4">
        <v>45.3</v>
      </c>
      <c r="W119" s="1">
        <v>16.6</v>
      </c>
      <c r="X119" s="8">
        <v>38.6576239037559</v>
      </c>
      <c r="Y119" s="18">
        <v>2.06460847402313</v>
      </c>
      <c r="Z119" s="3">
        <v>0.179756163510178</v>
      </c>
    </row>
    <row r="120" spans="2:26">
      <c r="B120" s="1">
        <v>50</v>
      </c>
      <c r="C120" s="1">
        <v>5.6</v>
      </c>
      <c r="D120" s="1">
        <v>8</v>
      </c>
      <c r="E120" s="1">
        <v>0</v>
      </c>
      <c r="F120" s="2">
        <v>0</v>
      </c>
      <c r="G120" s="1">
        <v>20</v>
      </c>
      <c r="H120" s="3">
        <v>0.920818198615511</v>
      </c>
      <c r="I120" s="4">
        <v>44.2</v>
      </c>
      <c r="J120" s="1">
        <v>17</v>
      </c>
      <c r="K120" s="7">
        <v>50.2504017124415</v>
      </c>
      <c r="L120" s="8">
        <v>2.78801466333995</v>
      </c>
      <c r="M120" s="9">
        <v>0.217356552605612</v>
      </c>
      <c r="O120" s="1">
        <v>50</v>
      </c>
      <c r="P120" s="1">
        <v>5.6</v>
      </c>
      <c r="Q120" s="1">
        <v>8</v>
      </c>
      <c r="R120" s="1">
        <v>0</v>
      </c>
      <c r="S120" s="2">
        <v>0</v>
      </c>
      <c r="T120" s="1">
        <v>20</v>
      </c>
      <c r="U120" s="17">
        <v>0.920818198615511</v>
      </c>
      <c r="V120" s="4">
        <v>44.2</v>
      </c>
      <c r="W120" s="1">
        <v>17</v>
      </c>
      <c r="X120" s="8">
        <v>50.2504017124415</v>
      </c>
      <c r="Y120" s="18">
        <v>2.78801466333995</v>
      </c>
      <c r="Z120" s="3">
        <v>0.217356552605612</v>
      </c>
    </row>
    <row r="121" spans="2:26">
      <c r="B121" s="1">
        <v>55</v>
      </c>
      <c r="C121" s="1">
        <v>4.4</v>
      </c>
      <c r="D121" s="1">
        <v>4.6</v>
      </c>
      <c r="E121" s="1">
        <v>0</v>
      </c>
      <c r="F121" s="2">
        <v>0</v>
      </c>
      <c r="G121" s="1">
        <v>20</v>
      </c>
      <c r="H121" s="3">
        <v>0.89760467536325</v>
      </c>
      <c r="I121" s="4">
        <v>51.5</v>
      </c>
      <c r="J121" s="1">
        <v>11.8</v>
      </c>
      <c r="K121" s="7">
        <v>27.1329941316981</v>
      </c>
      <c r="L121" s="8">
        <v>0.999786326397621</v>
      </c>
      <c r="M121" s="9">
        <v>0.102234352504662</v>
      </c>
      <c r="O121" s="1">
        <v>55</v>
      </c>
      <c r="P121" s="1">
        <v>4.4</v>
      </c>
      <c r="Q121" s="1">
        <v>4.6</v>
      </c>
      <c r="R121" s="1">
        <v>0</v>
      </c>
      <c r="S121" s="2">
        <v>0</v>
      </c>
      <c r="T121" s="1">
        <v>20</v>
      </c>
      <c r="U121" s="17">
        <v>0.89760467536325</v>
      </c>
      <c r="V121" s="4">
        <v>51.5</v>
      </c>
      <c r="W121" s="1">
        <v>11.8</v>
      </c>
      <c r="X121" s="8">
        <v>27.1329941316981</v>
      </c>
      <c r="Y121" s="18">
        <v>0.999786326397621</v>
      </c>
      <c r="Z121" s="3">
        <v>0.102234352504662</v>
      </c>
    </row>
    <row r="122" spans="2:26">
      <c r="B122" s="1">
        <v>55</v>
      </c>
      <c r="C122" s="1">
        <v>4.8</v>
      </c>
      <c r="D122" s="1">
        <v>2.9</v>
      </c>
      <c r="E122" s="1">
        <v>0</v>
      </c>
      <c r="F122" s="2">
        <v>0</v>
      </c>
      <c r="G122" s="1">
        <v>20</v>
      </c>
      <c r="H122" s="3">
        <v>0.89760467536325</v>
      </c>
      <c r="I122" s="4">
        <v>52.2</v>
      </c>
      <c r="J122" s="1">
        <v>13</v>
      </c>
      <c r="K122" s="7">
        <v>22.0692596740388</v>
      </c>
      <c r="L122" s="8">
        <v>0.824187319043395</v>
      </c>
      <c r="M122" s="9">
        <v>0.0651299011341736</v>
      </c>
      <c r="O122" s="1">
        <v>55</v>
      </c>
      <c r="P122" s="1">
        <v>4.8</v>
      </c>
      <c r="Q122" s="1">
        <v>2.9</v>
      </c>
      <c r="R122" s="1">
        <v>0</v>
      </c>
      <c r="S122" s="2">
        <v>0</v>
      </c>
      <c r="T122" s="1">
        <v>20</v>
      </c>
      <c r="U122" s="17">
        <v>0.89760467536325</v>
      </c>
      <c r="V122" s="4">
        <v>52.2</v>
      </c>
      <c r="W122" s="1">
        <v>13</v>
      </c>
      <c r="X122" s="8">
        <v>22.0692596740388</v>
      </c>
      <c r="Y122" s="18">
        <v>0.824187319043395</v>
      </c>
      <c r="Z122" s="3">
        <v>0.0651299011341736</v>
      </c>
    </row>
    <row r="123" spans="2:26">
      <c r="B123" s="1">
        <v>55</v>
      </c>
      <c r="C123" s="1">
        <v>5.2</v>
      </c>
      <c r="D123" s="1">
        <v>8</v>
      </c>
      <c r="E123" s="1">
        <v>0</v>
      </c>
      <c r="F123" s="2">
        <v>0</v>
      </c>
      <c r="G123" s="1">
        <v>20</v>
      </c>
      <c r="H123" s="3">
        <v>0.89760467536325</v>
      </c>
      <c r="I123" s="4">
        <v>49.7</v>
      </c>
      <c r="J123" s="1">
        <v>18.3</v>
      </c>
      <c r="K123" s="7">
        <v>53.1672979114787</v>
      </c>
      <c r="L123" s="8">
        <v>2.35465008600136</v>
      </c>
      <c r="M123" s="9">
        <v>0.202987296568876</v>
      </c>
      <c r="O123" s="1">
        <v>55</v>
      </c>
      <c r="P123" s="1">
        <v>5.2</v>
      </c>
      <c r="Q123" s="1">
        <v>8</v>
      </c>
      <c r="R123" s="1">
        <v>0</v>
      </c>
      <c r="S123" s="2">
        <v>0</v>
      </c>
      <c r="T123" s="1">
        <v>20</v>
      </c>
      <c r="U123" s="17">
        <v>0.89760467536325</v>
      </c>
      <c r="V123" s="4">
        <v>49.7</v>
      </c>
      <c r="W123" s="1">
        <v>18.3</v>
      </c>
      <c r="X123" s="8">
        <v>53.1672979114787</v>
      </c>
      <c r="Y123" s="18">
        <v>2.35465008600136</v>
      </c>
      <c r="Z123" s="3">
        <v>0.202987296568876</v>
      </c>
    </row>
    <row r="124" spans="2:26">
      <c r="B124" s="1">
        <v>55</v>
      </c>
      <c r="C124" s="1">
        <v>5.6</v>
      </c>
      <c r="D124" s="1">
        <v>6.3</v>
      </c>
      <c r="E124" s="1">
        <v>0</v>
      </c>
      <c r="F124" s="2">
        <v>0</v>
      </c>
      <c r="G124" s="1">
        <v>20</v>
      </c>
      <c r="H124" s="3">
        <v>0.89760467536325</v>
      </c>
      <c r="I124" s="4">
        <v>50.9</v>
      </c>
      <c r="J124" s="1">
        <v>17.8</v>
      </c>
      <c r="K124" s="7">
        <v>43.2628354206464</v>
      </c>
      <c r="L124" s="8">
        <v>1.85002873677074</v>
      </c>
      <c r="M124" s="9">
        <v>0.144014493567914</v>
      </c>
      <c r="O124" s="1">
        <v>55</v>
      </c>
      <c r="P124" s="1">
        <v>5.6</v>
      </c>
      <c r="Q124" s="1">
        <v>6.3</v>
      </c>
      <c r="R124" s="1">
        <v>0</v>
      </c>
      <c r="S124" s="2">
        <v>0</v>
      </c>
      <c r="T124" s="1">
        <v>20</v>
      </c>
      <c r="U124" s="17">
        <v>0.89760467536325</v>
      </c>
      <c r="V124" s="4">
        <v>50.9</v>
      </c>
      <c r="W124" s="1">
        <v>17.8</v>
      </c>
      <c r="X124" s="8">
        <v>43.2628354206464</v>
      </c>
      <c r="Y124" s="18">
        <v>1.85002873677074</v>
      </c>
      <c r="Z124" s="3">
        <v>0.144014493567914</v>
      </c>
    </row>
    <row r="125" spans="2:26">
      <c r="B125" s="1">
        <v>60</v>
      </c>
      <c r="C125" s="1">
        <v>4.4</v>
      </c>
      <c r="D125" s="1">
        <v>6.3</v>
      </c>
      <c r="E125" s="1">
        <v>0</v>
      </c>
      <c r="F125" s="2">
        <v>0</v>
      </c>
      <c r="G125" s="1">
        <v>20</v>
      </c>
      <c r="H125" s="3">
        <v>0.868253123396246</v>
      </c>
      <c r="I125" s="4">
        <v>55.2</v>
      </c>
      <c r="J125" s="1">
        <v>20.1</v>
      </c>
      <c r="K125" s="7">
        <v>47.8923067564269</v>
      </c>
      <c r="L125" s="8">
        <v>1.78524474165439</v>
      </c>
      <c r="M125" s="9">
        <v>0.16398257679398</v>
      </c>
      <c r="O125" s="1">
        <v>60</v>
      </c>
      <c r="P125" s="1">
        <v>4.4</v>
      </c>
      <c r="Q125" s="1">
        <v>6.3</v>
      </c>
      <c r="R125" s="1">
        <v>0</v>
      </c>
      <c r="S125" s="2">
        <v>0</v>
      </c>
      <c r="T125" s="1">
        <v>20</v>
      </c>
      <c r="U125" s="17">
        <v>0.868253123396246</v>
      </c>
      <c r="V125" s="4">
        <v>55.2</v>
      </c>
      <c r="W125" s="1">
        <v>20.1</v>
      </c>
      <c r="X125" s="8">
        <v>47.8923067564269</v>
      </c>
      <c r="Y125" s="18">
        <v>1.78524474165439</v>
      </c>
      <c r="Z125" s="3">
        <v>0.16398257679398</v>
      </c>
    </row>
    <row r="126" spans="2:26">
      <c r="B126" s="1">
        <v>60</v>
      </c>
      <c r="C126" s="1">
        <v>4.8</v>
      </c>
      <c r="D126" s="1">
        <v>8</v>
      </c>
      <c r="E126" s="1">
        <v>0</v>
      </c>
      <c r="F126" s="2">
        <v>0</v>
      </c>
      <c r="G126" s="1">
        <v>20</v>
      </c>
      <c r="H126" s="3">
        <v>0.868253123396246</v>
      </c>
      <c r="I126" s="4">
        <v>54.5</v>
      </c>
      <c r="J126" s="1">
        <v>21.1</v>
      </c>
      <c r="K126" s="7">
        <v>60.4105179063753</v>
      </c>
      <c r="L126" s="8">
        <v>2.33044184152709</v>
      </c>
      <c r="M126" s="9">
        <v>0.196201435550959</v>
      </c>
      <c r="O126" s="1">
        <v>60</v>
      </c>
      <c r="P126" s="1">
        <v>4.8</v>
      </c>
      <c r="Q126" s="1">
        <v>8</v>
      </c>
      <c r="R126" s="1">
        <v>0</v>
      </c>
      <c r="S126" s="2">
        <v>0</v>
      </c>
      <c r="T126" s="1">
        <v>20</v>
      </c>
      <c r="U126" s="17">
        <v>0.868253123396246</v>
      </c>
      <c r="V126" s="4">
        <v>54.5</v>
      </c>
      <c r="W126" s="1">
        <v>21.1</v>
      </c>
      <c r="X126" s="8">
        <v>60.4105179063753</v>
      </c>
      <c r="Y126" s="18">
        <v>2.33044184152709</v>
      </c>
      <c r="Z126" s="3">
        <v>0.196201435550959</v>
      </c>
    </row>
    <row r="127" spans="2:26">
      <c r="B127" s="1">
        <v>60</v>
      </c>
      <c r="C127" s="1">
        <v>5.2</v>
      </c>
      <c r="D127" s="1">
        <v>2.9</v>
      </c>
      <c r="E127" s="1">
        <v>0</v>
      </c>
      <c r="F127" s="2">
        <v>0</v>
      </c>
      <c r="G127" s="1">
        <v>20</v>
      </c>
      <c r="H127" s="3">
        <v>0.868253123396246</v>
      </c>
      <c r="I127" s="4">
        <v>58</v>
      </c>
      <c r="J127" s="1">
        <v>20.3</v>
      </c>
      <c r="K127" s="7">
        <v>23.7995279859286</v>
      </c>
      <c r="L127" s="8">
        <v>0.854399834582862</v>
      </c>
      <c r="M127" s="9">
        <v>0.0629635946723718</v>
      </c>
      <c r="O127" s="1">
        <v>60</v>
      </c>
      <c r="P127" s="1">
        <v>5.2</v>
      </c>
      <c r="Q127" s="1">
        <v>2.9</v>
      </c>
      <c r="R127" s="1">
        <v>0</v>
      </c>
      <c r="S127" s="2">
        <v>0</v>
      </c>
      <c r="T127" s="1">
        <v>20</v>
      </c>
      <c r="U127" s="17">
        <v>0.868253123396246</v>
      </c>
      <c r="V127" s="4">
        <v>58</v>
      </c>
      <c r="W127" s="1">
        <v>20.3</v>
      </c>
      <c r="X127" s="8">
        <v>23.7995279859286</v>
      </c>
      <c r="Y127" s="18">
        <v>0.854399834582862</v>
      </c>
      <c r="Z127" s="3">
        <v>0.0629635946723718</v>
      </c>
    </row>
    <row r="128" spans="2:26">
      <c r="B128" s="1">
        <v>60</v>
      </c>
      <c r="C128" s="1">
        <v>5.6</v>
      </c>
      <c r="D128" s="1">
        <v>4.6</v>
      </c>
      <c r="E128" s="1">
        <v>0</v>
      </c>
      <c r="F128" s="2">
        <v>0</v>
      </c>
      <c r="G128" s="1">
        <v>20</v>
      </c>
      <c r="H128" s="3">
        <v>0.868253123396246</v>
      </c>
      <c r="I128" s="4">
        <v>56.9</v>
      </c>
      <c r="J128" s="1">
        <v>20.9</v>
      </c>
      <c r="K128" s="7">
        <v>38.7767922772539</v>
      </c>
      <c r="L128" s="8">
        <v>1.43457404249127</v>
      </c>
      <c r="M128" s="9">
        <v>0.0959263974367793</v>
      </c>
      <c r="O128" s="1">
        <v>60</v>
      </c>
      <c r="P128" s="1">
        <v>5.6</v>
      </c>
      <c r="Q128" s="1">
        <v>4.6</v>
      </c>
      <c r="R128" s="1">
        <v>0</v>
      </c>
      <c r="S128" s="2">
        <v>0</v>
      </c>
      <c r="T128" s="1">
        <v>20</v>
      </c>
      <c r="U128" s="17">
        <v>0.868253123396246</v>
      </c>
      <c r="V128" s="4">
        <v>56.9</v>
      </c>
      <c r="W128" s="1">
        <v>20.9</v>
      </c>
      <c r="X128" s="8">
        <v>38.7767922772539</v>
      </c>
      <c r="Y128" s="18">
        <v>1.43457404249127</v>
      </c>
      <c r="Z128" s="3">
        <v>0.0959263974367793</v>
      </c>
    </row>
    <row r="129" spans="2:26">
      <c r="B129" s="1">
        <v>65</v>
      </c>
      <c r="C129" s="1">
        <v>4.4</v>
      </c>
      <c r="D129" s="1">
        <v>8</v>
      </c>
      <c r="E129" s="1">
        <v>0</v>
      </c>
      <c r="F129" s="2">
        <v>0</v>
      </c>
      <c r="G129" s="1">
        <v>20</v>
      </c>
      <c r="H129" s="3">
        <v>0.831152647810126</v>
      </c>
      <c r="I129" s="4">
        <v>59.3</v>
      </c>
      <c r="J129" s="1">
        <v>23.7</v>
      </c>
      <c r="K129" s="7">
        <v>69.6466535904897</v>
      </c>
      <c r="L129" s="8">
        <v>2.36998835504586</v>
      </c>
      <c r="M129" s="9">
        <v>0.198302691249172</v>
      </c>
      <c r="O129" s="1">
        <v>65</v>
      </c>
      <c r="P129" s="1">
        <v>4.4</v>
      </c>
      <c r="Q129" s="1">
        <v>8</v>
      </c>
      <c r="R129" s="1">
        <v>0</v>
      </c>
      <c r="S129" s="2">
        <v>0</v>
      </c>
      <c r="T129" s="1">
        <v>20</v>
      </c>
      <c r="U129" s="17">
        <v>0.831152647810126</v>
      </c>
      <c r="V129" s="4">
        <v>59.3</v>
      </c>
      <c r="W129" s="1">
        <v>23.7</v>
      </c>
      <c r="X129" s="8">
        <v>69.6466535904897</v>
      </c>
      <c r="Y129" s="18">
        <v>2.36998835504586</v>
      </c>
      <c r="Z129" s="3">
        <v>0.198302691249172</v>
      </c>
    </row>
    <row r="130" spans="2:26">
      <c r="B130" s="1">
        <v>65</v>
      </c>
      <c r="C130" s="1">
        <v>4.8</v>
      </c>
      <c r="D130" s="1">
        <v>6.3</v>
      </c>
      <c r="E130" s="1">
        <v>0</v>
      </c>
      <c r="F130" s="2">
        <v>0</v>
      </c>
      <c r="G130" s="1">
        <v>20</v>
      </c>
      <c r="H130" s="3">
        <v>0.831152647810126</v>
      </c>
      <c r="I130" s="4">
        <v>60.1</v>
      </c>
      <c r="J130" s="1">
        <v>24.7</v>
      </c>
      <c r="K130" s="7">
        <v>63.7067219318668</v>
      </c>
      <c r="L130" s="8">
        <v>2.19033828516201</v>
      </c>
      <c r="M130" s="9">
        <v>0.155811462349189</v>
      </c>
      <c r="O130" s="1">
        <v>65</v>
      </c>
      <c r="P130" s="1">
        <v>4.8</v>
      </c>
      <c r="Q130" s="1">
        <v>6.3</v>
      </c>
      <c r="R130" s="1">
        <v>0</v>
      </c>
      <c r="S130" s="2">
        <v>0</v>
      </c>
      <c r="T130" s="1">
        <v>20</v>
      </c>
      <c r="U130" s="17">
        <v>0.831152647810126</v>
      </c>
      <c r="V130" s="4">
        <v>60.1</v>
      </c>
      <c r="W130" s="1">
        <v>24.7</v>
      </c>
      <c r="X130" s="8">
        <v>63.7067219318668</v>
      </c>
      <c r="Y130" s="18">
        <v>2.19033828516201</v>
      </c>
      <c r="Z130" s="3">
        <v>0.155811462349189</v>
      </c>
    </row>
    <row r="131" spans="2:26">
      <c r="B131" s="1">
        <v>65</v>
      </c>
      <c r="C131" s="1">
        <v>5.2</v>
      </c>
      <c r="D131" s="1">
        <v>4.6</v>
      </c>
      <c r="E131" s="1">
        <v>0</v>
      </c>
      <c r="F131" s="2">
        <v>0</v>
      </c>
      <c r="G131" s="1">
        <v>20</v>
      </c>
      <c r="H131" s="3">
        <v>0.831152647810126</v>
      </c>
      <c r="I131" s="4">
        <v>61.9</v>
      </c>
      <c r="J131" s="1">
        <v>24.5</v>
      </c>
      <c r="K131" s="7">
        <v>45.4282364087733</v>
      </c>
      <c r="L131" s="8">
        <v>1.51751737464118</v>
      </c>
      <c r="M131" s="9">
        <v>0.101046842278584</v>
      </c>
      <c r="O131" s="1">
        <v>65</v>
      </c>
      <c r="P131" s="1">
        <v>5.2</v>
      </c>
      <c r="Q131" s="1">
        <v>4.6</v>
      </c>
      <c r="R131" s="1">
        <v>0</v>
      </c>
      <c r="S131" s="2">
        <v>0</v>
      </c>
      <c r="T131" s="1">
        <v>20</v>
      </c>
      <c r="U131" s="17">
        <v>0.831152647810126</v>
      </c>
      <c r="V131" s="4">
        <v>61.9</v>
      </c>
      <c r="W131" s="1">
        <v>24.5</v>
      </c>
      <c r="X131" s="8">
        <v>45.4282364087733</v>
      </c>
      <c r="Y131" s="18">
        <v>1.51751737464118</v>
      </c>
      <c r="Z131" s="3">
        <v>0.101046842278584</v>
      </c>
    </row>
    <row r="132" spans="2:26">
      <c r="B132" s="1">
        <v>65</v>
      </c>
      <c r="C132" s="1">
        <v>5.6</v>
      </c>
      <c r="D132" s="1">
        <v>2.9</v>
      </c>
      <c r="E132" s="1">
        <v>0</v>
      </c>
      <c r="F132" s="2">
        <v>0</v>
      </c>
      <c r="G132" s="1">
        <v>20</v>
      </c>
      <c r="H132" s="3">
        <v>0.831152647810126</v>
      </c>
      <c r="I132" s="4">
        <v>63</v>
      </c>
      <c r="J132" s="1">
        <v>24.4</v>
      </c>
      <c r="K132" s="7">
        <v>30.978901840822</v>
      </c>
      <c r="L132" s="8">
        <v>1.01775240673101</v>
      </c>
      <c r="M132" s="9">
        <v>0.0589400564493234</v>
      </c>
      <c r="O132" s="1">
        <v>65</v>
      </c>
      <c r="P132" s="1">
        <v>5.6</v>
      </c>
      <c r="Q132" s="1">
        <v>2.9</v>
      </c>
      <c r="R132" s="1">
        <v>0</v>
      </c>
      <c r="S132" s="2">
        <v>0</v>
      </c>
      <c r="T132" s="1">
        <v>20</v>
      </c>
      <c r="U132" s="17">
        <v>0.831152647810126</v>
      </c>
      <c r="V132" s="4">
        <v>63</v>
      </c>
      <c r="W132" s="1">
        <v>24.4</v>
      </c>
      <c r="X132" s="8">
        <v>30.978901840822</v>
      </c>
      <c r="Y132" s="18">
        <v>1.01775240673101</v>
      </c>
      <c r="Z132" s="3">
        <v>0.0589400564493234</v>
      </c>
    </row>
    <row r="133" spans="2:26">
      <c r="B133" s="2">
        <v>45</v>
      </c>
      <c r="C133" s="2">
        <v>4.5</v>
      </c>
      <c r="D133" s="2">
        <v>2.5</v>
      </c>
      <c r="E133" s="2">
        <v>0</v>
      </c>
      <c r="F133" s="2">
        <v>1</v>
      </c>
      <c r="G133" s="2">
        <v>20.4</v>
      </c>
      <c r="H133" s="5">
        <v>0.93913980595102</v>
      </c>
      <c r="I133" s="6">
        <v>36</v>
      </c>
      <c r="J133" s="2">
        <v>10.9</v>
      </c>
      <c r="K133" s="6">
        <v>33.8231783442324</v>
      </c>
      <c r="L133" s="10">
        <v>2.31199370599375</v>
      </c>
      <c r="M133" s="11">
        <v>0.11669992740061</v>
      </c>
      <c r="O133" s="2">
        <v>45</v>
      </c>
      <c r="P133" s="2">
        <v>4.5</v>
      </c>
      <c r="Q133" s="2">
        <v>2.5</v>
      </c>
      <c r="R133" s="2">
        <v>0</v>
      </c>
      <c r="S133" s="2">
        <v>1</v>
      </c>
      <c r="T133" s="2">
        <v>20.4</v>
      </c>
      <c r="U133" s="19">
        <v>0.93913980595102</v>
      </c>
      <c r="V133" s="6">
        <v>36</v>
      </c>
      <c r="W133" s="2">
        <v>10.9</v>
      </c>
      <c r="X133" s="10">
        <v>33.8231783442324</v>
      </c>
      <c r="Y133" s="11">
        <v>2.31199370599375</v>
      </c>
      <c r="Z133" s="5">
        <v>0.11669992740061</v>
      </c>
    </row>
    <row r="134" spans="2:26">
      <c r="B134" s="2">
        <v>47.5</v>
      </c>
      <c r="C134" s="2">
        <v>4.5</v>
      </c>
      <c r="D134" s="2">
        <v>2.5</v>
      </c>
      <c r="E134" s="2">
        <v>0</v>
      </c>
      <c r="F134" s="2">
        <v>1</v>
      </c>
      <c r="G134" s="2">
        <v>20.4</v>
      </c>
      <c r="H134" s="5">
        <v>0.930523923822277</v>
      </c>
      <c r="I134" s="6">
        <v>38.6</v>
      </c>
      <c r="J134" s="2">
        <v>12.6</v>
      </c>
      <c r="K134" s="6">
        <v>36.7132276021732</v>
      </c>
      <c r="L134" s="10">
        <v>2.25511441756215</v>
      </c>
      <c r="M134" s="11">
        <v>0.110796974509486</v>
      </c>
      <c r="O134" s="2">
        <v>47.5</v>
      </c>
      <c r="P134" s="2">
        <v>4.5</v>
      </c>
      <c r="Q134" s="2">
        <v>2.5</v>
      </c>
      <c r="R134" s="2">
        <v>0</v>
      </c>
      <c r="S134" s="2">
        <v>1</v>
      </c>
      <c r="T134" s="2">
        <v>20.4</v>
      </c>
      <c r="U134" s="19">
        <v>0.930523923822277</v>
      </c>
      <c r="V134" s="6">
        <v>38.6</v>
      </c>
      <c r="W134" s="2">
        <v>12.6</v>
      </c>
      <c r="X134" s="10">
        <v>36.7132276021732</v>
      </c>
      <c r="Y134" s="11">
        <v>2.25511441756215</v>
      </c>
      <c r="Z134" s="5">
        <v>0.110796974509486</v>
      </c>
    </row>
    <row r="135" spans="2:26">
      <c r="B135" s="2">
        <v>50</v>
      </c>
      <c r="C135" s="2">
        <v>4.5</v>
      </c>
      <c r="D135" s="2">
        <v>2.5</v>
      </c>
      <c r="E135" s="2">
        <v>0</v>
      </c>
      <c r="F135" s="2">
        <v>1</v>
      </c>
      <c r="G135" s="2">
        <v>20.4</v>
      </c>
      <c r="H135" s="5">
        <v>0.920818198615511</v>
      </c>
      <c r="I135" s="6">
        <v>41.5</v>
      </c>
      <c r="J135" s="2">
        <v>14.6</v>
      </c>
      <c r="K135" s="6">
        <v>39.0448998509012</v>
      </c>
      <c r="L135" s="10">
        <v>2.18410026072539</v>
      </c>
      <c r="M135" s="11">
        <v>0.105560488609496</v>
      </c>
      <c r="O135" s="2">
        <v>50</v>
      </c>
      <c r="P135" s="2">
        <v>4.5</v>
      </c>
      <c r="Q135" s="2">
        <v>2.5</v>
      </c>
      <c r="R135" s="2">
        <v>0</v>
      </c>
      <c r="S135" s="2">
        <v>1</v>
      </c>
      <c r="T135" s="2">
        <v>20.4</v>
      </c>
      <c r="U135" s="19">
        <v>0.920818198615511</v>
      </c>
      <c r="V135" s="6">
        <v>41.5</v>
      </c>
      <c r="W135" s="2">
        <v>14.6</v>
      </c>
      <c r="X135" s="10">
        <v>39.0448998509012</v>
      </c>
      <c r="Y135" s="11">
        <v>2.18410026072539</v>
      </c>
      <c r="Z135" s="5">
        <v>0.105560488609496</v>
      </c>
    </row>
    <row r="136" spans="2:26">
      <c r="B136" s="2">
        <v>52.5</v>
      </c>
      <c r="C136" s="2">
        <v>4.5</v>
      </c>
      <c r="D136" s="2">
        <v>2.5</v>
      </c>
      <c r="E136" s="2">
        <v>0</v>
      </c>
      <c r="F136" s="2">
        <v>1</v>
      </c>
      <c r="G136" s="2">
        <v>20.4</v>
      </c>
      <c r="H136" s="5">
        <v>0.909893599259399</v>
      </c>
      <c r="I136" s="6">
        <v>44.6</v>
      </c>
      <c r="J136" s="2">
        <v>18</v>
      </c>
      <c r="K136" s="6">
        <v>41.0529481217829</v>
      </c>
      <c r="L136" s="10">
        <v>2.19563293750024</v>
      </c>
      <c r="M136" s="11">
        <v>0.102894069657303</v>
      </c>
      <c r="O136" s="2">
        <v>52.5</v>
      </c>
      <c r="P136" s="2">
        <v>4.5</v>
      </c>
      <c r="Q136" s="2">
        <v>2.5</v>
      </c>
      <c r="R136" s="2">
        <v>0</v>
      </c>
      <c r="S136" s="2">
        <v>1</v>
      </c>
      <c r="T136" s="2">
        <v>20.4</v>
      </c>
      <c r="U136" s="19">
        <v>0.909893599259399</v>
      </c>
      <c r="V136" s="6">
        <v>44.6</v>
      </c>
      <c r="W136" s="2">
        <v>18</v>
      </c>
      <c r="X136" s="10">
        <v>41.0529481217829</v>
      </c>
      <c r="Y136" s="11">
        <v>2.19563293750024</v>
      </c>
      <c r="Z136" s="5">
        <v>0.102894069657303</v>
      </c>
    </row>
    <row r="137" spans="2:26">
      <c r="B137" s="2">
        <v>55</v>
      </c>
      <c r="C137" s="2">
        <v>4.5</v>
      </c>
      <c r="D137" s="2">
        <v>2.5</v>
      </c>
      <c r="E137" s="2">
        <v>0</v>
      </c>
      <c r="F137" s="2">
        <v>1</v>
      </c>
      <c r="G137" s="2">
        <v>20.4</v>
      </c>
      <c r="H137" s="5">
        <v>0.89760467536325</v>
      </c>
      <c r="I137" s="6">
        <v>46.6</v>
      </c>
      <c r="J137" s="2">
        <v>20.3</v>
      </c>
      <c r="K137" s="6">
        <v>46.5408449911386</v>
      </c>
      <c r="L137" s="10">
        <v>2.36651733568519</v>
      </c>
      <c r="M137" s="11">
        <v>0.0970007981312605</v>
      </c>
      <c r="O137" s="2">
        <v>55</v>
      </c>
      <c r="P137" s="2">
        <v>4.5</v>
      </c>
      <c r="Q137" s="2">
        <v>2.5</v>
      </c>
      <c r="R137" s="2">
        <v>0</v>
      </c>
      <c r="S137" s="2">
        <v>1</v>
      </c>
      <c r="T137" s="2">
        <v>20.4</v>
      </c>
      <c r="U137" s="19">
        <v>0.89760467536325</v>
      </c>
      <c r="V137" s="6">
        <v>46.6</v>
      </c>
      <c r="W137" s="2">
        <v>20.3</v>
      </c>
      <c r="X137" s="10">
        <v>46.5408449911386</v>
      </c>
      <c r="Y137" s="11">
        <v>2.36651733568519</v>
      </c>
      <c r="Z137" s="5">
        <v>0.0970007981312605</v>
      </c>
    </row>
    <row r="138" spans="2:26">
      <c r="B138" s="2">
        <v>57.5</v>
      </c>
      <c r="C138" s="2">
        <v>4.5</v>
      </c>
      <c r="D138" s="2">
        <v>2.5</v>
      </c>
      <c r="E138" s="2">
        <v>0</v>
      </c>
      <c r="F138" s="2">
        <v>1</v>
      </c>
      <c r="G138" s="2">
        <v>20.4</v>
      </c>
      <c r="H138" s="5">
        <v>0.883786850160418</v>
      </c>
      <c r="I138" s="6">
        <v>49.3</v>
      </c>
      <c r="J138" s="2">
        <v>22.8</v>
      </c>
      <c r="K138" s="6">
        <v>50.146733895906</v>
      </c>
      <c r="L138" s="10">
        <v>2.41496664313804</v>
      </c>
      <c r="M138" s="11">
        <v>0.0913738926226355</v>
      </c>
      <c r="O138" s="2">
        <v>57.5</v>
      </c>
      <c r="P138" s="2">
        <v>4.5</v>
      </c>
      <c r="Q138" s="2">
        <v>2.5</v>
      </c>
      <c r="R138" s="2">
        <v>0</v>
      </c>
      <c r="S138" s="2">
        <v>1</v>
      </c>
      <c r="T138" s="2">
        <v>20.4</v>
      </c>
      <c r="U138" s="19">
        <v>0.883786850160418</v>
      </c>
      <c r="V138" s="6">
        <v>49.3</v>
      </c>
      <c r="W138" s="2">
        <v>22.8</v>
      </c>
      <c r="X138" s="10">
        <v>50.146733895906</v>
      </c>
      <c r="Y138" s="11">
        <v>2.41496664313804</v>
      </c>
      <c r="Z138" s="5">
        <v>0.0913738926226355</v>
      </c>
    </row>
    <row r="139" spans="2:26">
      <c r="B139" s="2">
        <v>60</v>
      </c>
      <c r="C139" s="2">
        <v>4.5</v>
      </c>
      <c r="D139" s="2">
        <v>2.5</v>
      </c>
      <c r="E139" s="2">
        <v>0</v>
      </c>
      <c r="F139" s="2">
        <v>1</v>
      </c>
      <c r="G139" s="2">
        <v>22.3</v>
      </c>
      <c r="H139" s="5">
        <v>0.868253123396246</v>
      </c>
      <c r="I139" s="6">
        <v>52.2</v>
      </c>
      <c r="J139" s="2">
        <v>22.2</v>
      </c>
      <c r="K139" s="6">
        <v>52.4883625609087</v>
      </c>
      <c r="L139" s="10">
        <v>2.39431614557164</v>
      </c>
      <c r="M139" s="11">
        <v>0.0796596414812436</v>
      </c>
      <c r="O139" s="2">
        <v>60</v>
      </c>
      <c r="P139" s="2">
        <v>4.5</v>
      </c>
      <c r="Q139" s="2">
        <v>2.5</v>
      </c>
      <c r="R139" s="2">
        <v>0</v>
      </c>
      <c r="S139" s="2">
        <v>1</v>
      </c>
      <c r="T139" s="2">
        <v>22.3</v>
      </c>
      <c r="U139" s="19">
        <v>0.868253123396246</v>
      </c>
      <c r="V139" s="6">
        <v>52.2</v>
      </c>
      <c r="W139" s="2">
        <v>22.2</v>
      </c>
      <c r="X139" s="10">
        <v>52.4883625609087</v>
      </c>
      <c r="Y139" s="11">
        <v>2.39431614557164</v>
      </c>
      <c r="Z139" s="5">
        <v>0.0796596414812436</v>
      </c>
    </row>
    <row r="140" spans="2:26">
      <c r="B140" s="2">
        <v>62.5</v>
      </c>
      <c r="C140" s="2">
        <v>4.5</v>
      </c>
      <c r="D140" s="2">
        <v>2.5</v>
      </c>
      <c r="E140" s="2">
        <v>0</v>
      </c>
      <c r="F140" s="2">
        <v>1</v>
      </c>
      <c r="G140" s="2">
        <v>22.3</v>
      </c>
      <c r="H140" s="5">
        <v>0.850790029374404</v>
      </c>
      <c r="I140" s="6">
        <v>55</v>
      </c>
      <c r="J140" s="2">
        <v>24</v>
      </c>
      <c r="K140" s="6">
        <v>55.9719977061725</v>
      </c>
      <c r="L140" s="10">
        <v>2.38132865533467</v>
      </c>
      <c r="M140" s="11">
        <v>0.0741992778442958</v>
      </c>
      <c r="O140" s="2">
        <v>62.5</v>
      </c>
      <c r="P140" s="2">
        <v>4.5</v>
      </c>
      <c r="Q140" s="2">
        <v>2.5</v>
      </c>
      <c r="R140" s="2">
        <v>0</v>
      </c>
      <c r="S140" s="2">
        <v>1</v>
      </c>
      <c r="T140" s="2">
        <v>22.3</v>
      </c>
      <c r="U140" s="19">
        <v>0.850790029374404</v>
      </c>
      <c r="V140" s="6">
        <v>55</v>
      </c>
      <c r="W140" s="2">
        <v>24</v>
      </c>
      <c r="X140" s="10">
        <v>55.9719977061725</v>
      </c>
      <c r="Y140" s="11">
        <v>2.38132865533467</v>
      </c>
      <c r="Z140" s="5">
        <v>0.0741992778442958</v>
      </c>
    </row>
    <row r="141" spans="2:26">
      <c r="B141" s="2">
        <v>65</v>
      </c>
      <c r="C141" s="2">
        <v>4.5</v>
      </c>
      <c r="D141" s="2">
        <v>2.5</v>
      </c>
      <c r="E141" s="2">
        <v>0</v>
      </c>
      <c r="F141" s="2">
        <v>1</v>
      </c>
      <c r="G141" s="2">
        <v>22.3</v>
      </c>
      <c r="H141" s="5">
        <v>0.831152647810126</v>
      </c>
      <c r="I141" s="6">
        <v>57.5</v>
      </c>
      <c r="J141" s="2">
        <v>25</v>
      </c>
      <c r="K141" s="6">
        <v>61.7797318887707</v>
      </c>
      <c r="L141" s="10">
        <v>2.428686197182</v>
      </c>
      <c r="M141" s="11">
        <v>0.0683735781086486</v>
      </c>
      <c r="O141" s="2">
        <v>65</v>
      </c>
      <c r="P141" s="2">
        <v>4.5</v>
      </c>
      <c r="Q141" s="2">
        <v>2.5</v>
      </c>
      <c r="R141" s="2">
        <v>0</v>
      </c>
      <c r="S141" s="2">
        <v>1</v>
      </c>
      <c r="T141" s="2">
        <v>22.3</v>
      </c>
      <c r="U141" s="19">
        <v>0.831152647810126</v>
      </c>
      <c r="V141" s="6">
        <v>57.5</v>
      </c>
      <c r="W141" s="2">
        <v>25</v>
      </c>
      <c r="X141" s="10">
        <v>61.7797318887707</v>
      </c>
      <c r="Y141" s="11">
        <v>2.428686197182</v>
      </c>
      <c r="Z141" s="5">
        <v>0.0683735781086486</v>
      </c>
    </row>
    <row r="142" spans="2:26">
      <c r="B142" s="2">
        <v>67.5</v>
      </c>
      <c r="C142" s="2">
        <v>4.5</v>
      </c>
      <c r="D142" s="2">
        <v>2.5</v>
      </c>
      <c r="E142" s="2">
        <v>0</v>
      </c>
      <c r="F142" s="2">
        <v>1</v>
      </c>
      <c r="G142" s="2">
        <v>22.3</v>
      </c>
      <c r="H142" s="5">
        <v>0.809058400419842</v>
      </c>
      <c r="I142" s="6">
        <v>61.2</v>
      </c>
      <c r="J142" s="2">
        <v>26</v>
      </c>
      <c r="K142" s="6">
        <v>60.4431531476237</v>
      </c>
      <c r="L142" s="10">
        <v>2.16760656622028</v>
      </c>
      <c r="M142" s="11">
        <v>0.0631810261052094</v>
      </c>
      <c r="O142" s="2">
        <v>67.5</v>
      </c>
      <c r="P142" s="2">
        <v>4.5</v>
      </c>
      <c r="Q142" s="2">
        <v>2.5</v>
      </c>
      <c r="R142" s="2">
        <v>0</v>
      </c>
      <c r="S142" s="2">
        <v>1</v>
      </c>
      <c r="T142" s="2">
        <v>22.3</v>
      </c>
      <c r="U142" s="19">
        <v>0.809058400419842</v>
      </c>
      <c r="V142" s="6">
        <v>61.2</v>
      </c>
      <c r="W142" s="2">
        <v>26</v>
      </c>
      <c r="X142" s="10">
        <v>60.4431531476237</v>
      </c>
      <c r="Y142" s="11">
        <v>2.16760656622028</v>
      </c>
      <c r="Z142" s="5">
        <v>0.0631810261052094</v>
      </c>
    </row>
    <row r="143" spans="2:26">
      <c r="B143" s="2">
        <v>70</v>
      </c>
      <c r="C143" s="2">
        <v>4.5</v>
      </c>
      <c r="D143" s="2">
        <v>2.5</v>
      </c>
      <c r="E143" s="2">
        <v>0</v>
      </c>
      <c r="F143" s="2">
        <v>1</v>
      </c>
      <c r="G143" s="2">
        <v>22.4</v>
      </c>
      <c r="H143" s="5">
        <v>0.784179277129304</v>
      </c>
      <c r="I143" s="6">
        <v>64.7</v>
      </c>
      <c r="J143" s="2">
        <v>26.8</v>
      </c>
      <c r="K143" s="6">
        <v>59.1021269675123</v>
      </c>
      <c r="L143" s="10">
        <v>1.95180419874268</v>
      </c>
      <c r="M143" s="11">
        <v>0.0581776486085909</v>
      </c>
      <c r="O143" s="2">
        <v>70</v>
      </c>
      <c r="P143" s="2">
        <v>4.5</v>
      </c>
      <c r="Q143" s="2">
        <v>2.5</v>
      </c>
      <c r="R143" s="2">
        <v>0</v>
      </c>
      <c r="S143" s="2">
        <v>1</v>
      </c>
      <c r="T143" s="2">
        <v>22.4</v>
      </c>
      <c r="U143" s="19">
        <v>0.784179277129304</v>
      </c>
      <c r="V143" s="6">
        <v>64.7</v>
      </c>
      <c r="W143" s="2">
        <v>26.8</v>
      </c>
      <c r="X143" s="10">
        <v>59.1021269675123</v>
      </c>
      <c r="Y143" s="11">
        <v>1.95180419874268</v>
      </c>
      <c r="Z143" s="5">
        <v>0.0581776486085909</v>
      </c>
    </row>
    <row r="144" spans="2:26">
      <c r="B144" s="2">
        <v>45</v>
      </c>
      <c r="C144" s="2">
        <v>5.7</v>
      </c>
      <c r="D144" s="2">
        <v>2.5</v>
      </c>
      <c r="E144" s="2">
        <v>0</v>
      </c>
      <c r="F144" s="2">
        <v>1</v>
      </c>
      <c r="G144" s="2">
        <v>22.4</v>
      </c>
      <c r="H144" s="5">
        <v>0.93913980595102</v>
      </c>
      <c r="I144" s="6">
        <v>37.8</v>
      </c>
      <c r="J144" s="2">
        <v>13.6</v>
      </c>
      <c r="K144" s="6">
        <v>35.5455094251256</v>
      </c>
      <c r="L144" s="10">
        <v>2.98075523560178</v>
      </c>
      <c r="M144" s="11">
        <v>0.0975473746977074</v>
      </c>
      <c r="O144" s="2">
        <v>45</v>
      </c>
      <c r="P144" s="2">
        <v>5.7</v>
      </c>
      <c r="Q144" s="2">
        <v>2.5</v>
      </c>
      <c r="R144" s="2">
        <v>0</v>
      </c>
      <c r="S144" s="2">
        <v>1</v>
      </c>
      <c r="T144" s="2">
        <v>22.4</v>
      </c>
      <c r="U144" s="19">
        <v>0.93913980595102</v>
      </c>
      <c r="V144" s="6">
        <v>37.8</v>
      </c>
      <c r="W144" s="2">
        <v>13.6</v>
      </c>
      <c r="X144" s="10">
        <v>35.5455094251256</v>
      </c>
      <c r="Y144" s="11">
        <v>2.98075523560178</v>
      </c>
      <c r="Z144" s="5">
        <v>0.0975473746977074</v>
      </c>
    </row>
    <row r="145" spans="2:26">
      <c r="B145" s="2">
        <v>47.5</v>
      </c>
      <c r="C145" s="2">
        <v>5.7</v>
      </c>
      <c r="D145" s="2">
        <v>2.5</v>
      </c>
      <c r="E145" s="2">
        <v>0</v>
      </c>
      <c r="F145" s="2">
        <v>1</v>
      </c>
      <c r="G145" s="2">
        <v>22.4</v>
      </c>
      <c r="H145" s="5">
        <v>0.930523923822277</v>
      </c>
      <c r="I145" s="6">
        <v>41.1</v>
      </c>
      <c r="J145" s="2">
        <v>15.8</v>
      </c>
      <c r="K145" s="6">
        <v>36.2634385676425</v>
      </c>
      <c r="L145" s="10">
        <v>2.69834019994281</v>
      </c>
      <c r="M145" s="11">
        <v>0.0926119244094328</v>
      </c>
      <c r="O145" s="2">
        <v>47.5</v>
      </c>
      <c r="P145" s="2">
        <v>5.7</v>
      </c>
      <c r="Q145" s="2">
        <v>2.5</v>
      </c>
      <c r="R145" s="2">
        <v>0</v>
      </c>
      <c r="S145" s="2">
        <v>1</v>
      </c>
      <c r="T145" s="2">
        <v>22.4</v>
      </c>
      <c r="U145" s="19">
        <v>0.930523923822277</v>
      </c>
      <c r="V145" s="6">
        <v>41.1</v>
      </c>
      <c r="W145" s="2">
        <v>15.8</v>
      </c>
      <c r="X145" s="10">
        <v>36.2634385676425</v>
      </c>
      <c r="Y145" s="11">
        <v>2.69834019994281</v>
      </c>
      <c r="Z145" s="5">
        <v>0.0926119244094328</v>
      </c>
    </row>
    <row r="146" spans="2:26">
      <c r="B146" s="2">
        <v>50</v>
      </c>
      <c r="C146" s="2">
        <v>5.7</v>
      </c>
      <c r="D146" s="2">
        <v>2.5</v>
      </c>
      <c r="E146" s="2">
        <v>0</v>
      </c>
      <c r="F146" s="2">
        <v>1</v>
      </c>
      <c r="G146" s="2">
        <v>22.3</v>
      </c>
      <c r="H146" s="5">
        <v>0.920818198615511</v>
      </c>
      <c r="I146" s="6">
        <v>43.3</v>
      </c>
      <c r="J146" s="2">
        <v>18.1</v>
      </c>
      <c r="K146" s="6">
        <v>40.6405329040815</v>
      </c>
      <c r="L146" s="10">
        <v>2.79044495684865</v>
      </c>
      <c r="M146" s="11">
        <v>0.0875735317810145</v>
      </c>
      <c r="O146" s="2">
        <v>50</v>
      </c>
      <c r="P146" s="2">
        <v>5.7</v>
      </c>
      <c r="Q146" s="2">
        <v>2.5</v>
      </c>
      <c r="R146" s="2">
        <v>0</v>
      </c>
      <c r="S146" s="2">
        <v>1</v>
      </c>
      <c r="T146" s="2">
        <v>22.3</v>
      </c>
      <c r="U146" s="19">
        <v>0.920818198615511</v>
      </c>
      <c r="V146" s="6">
        <v>43.3</v>
      </c>
      <c r="W146" s="2">
        <v>18.1</v>
      </c>
      <c r="X146" s="10">
        <v>40.6405329040815</v>
      </c>
      <c r="Y146" s="11">
        <v>2.79044495684865</v>
      </c>
      <c r="Z146" s="5">
        <v>0.0875735317810145</v>
      </c>
    </row>
    <row r="147" spans="2:26">
      <c r="B147" s="2">
        <v>52.5</v>
      </c>
      <c r="C147" s="2">
        <v>5.7</v>
      </c>
      <c r="D147" s="2">
        <v>2.5</v>
      </c>
      <c r="E147" s="2">
        <v>0</v>
      </c>
      <c r="F147" s="2">
        <v>1</v>
      </c>
      <c r="G147" s="2">
        <v>22.2</v>
      </c>
      <c r="H147" s="5">
        <v>0.909893599259399</v>
      </c>
      <c r="I147" s="6">
        <v>44.5</v>
      </c>
      <c r="J147" s="2">
        <v>19.3</v>
      </c>
      <c r="K147" s="6">
        <v>49.8812336096783</v>
      </c>
      <c r="L147" s="10">
        <v>3.12206693634235</v>
      </c>
      <c r="M147" s="11">
        <v>0.0808383056664566</v>
      </c>
      <c r="O147" s="2">
        <v>52.5</v>
      </c>
      <c r="P147" s="2">
        <v>5.7</v>
      </c>
      <c r="Q147" s="2">
        <v>2.5</v>
      </c>
      <c r="R147" s="2">
        <v>0</v>
      </c>
      <c r="S147" s="2">
        <v>1</v>
      </c>
      <c r="T147" s="2">
        <v>22.2</v>
      </c>
      <c r="U147" s="19">
        <v>0.909893599259399</v>
      </c>
      <c r="V147" s="6">
        <v>44.5</v>
      </c>
      <c r="W147" s="2">
        <v>19.3</v>
      </c>
      <c r="X147" s="10">
        <v>49.8812336096783</v>
      </c>
      <c r="Y147" s="11">
        <v>3.12206693634235</v>
      </c>
      <c r="Z147" s="5">
        <v>0.0808383056664566</v>
      </c>
    </row>
    <row r="148" spans="2:26">
      <c r="B148" s="2">
        <v>55</v>
      </c>
      <c r="C148" s="2">
        <v>5.7</v>
      </c>
      <c r="D148" s="2">
        <v>2.5</v>
      </c>
      <c r="E148" s="2">
        <v>0</v>
      </c>
      <c r="F148" s="2">
        <v>1</v>
      </c>
      <c r="G148" s="2">
        <v>22.2</v>
      </c>
      <c r="H148" s="5">
        <v>0.89760467536325</v>
      </c>
      <c r="I148" s="6">
        <v>46.2</v>
      </c>
      <c r="J148" s="2">
        <v>21.3</v>
      </c>
      <c r="K148" s="6">
        <v>58.0511134258079</v>
      </c>
      <c r="L148" s="10">
        <v>3.41798177407221</v>
      </c>
      <c r="M148" s="11">
        <v>0.0754311490839026</v>
      </c>
      <c r="O148" s="2">
        <v>55</v>
      </c>
      <c r="P148" s="2">
        <v>5.7</v>
      </c>
      <c r="Q148" s="2">
        <v>2.5</v>
      </c>
      <c r="R148" s="2">
        <v>0</v>
      </c>
      <c r="S148" s="2">
        <v>1</v>
      </c>
      <c r="T148" s="2">
        <v>22.2</v>
      </c>
      <c r="U148" s="19">
        <v>0.89760467536325</v>
      </c>
      <c r="V148" s="6">
        <v>46.2</v>
      </c>
      <c r="W148" s="2">
        <v>21.3</v>
      </c>
      <c r="X148" s="10">
        <v>58.0511134258079</v>
      </c>
      <c r="Y148" s="11">
        <v>3.41798177407221</v>
      </c>
      <c r="Z148" s="5">
        <v>0.0754311490839026</v>
      </c>
    </row>
    <row r="149" spans="2:26">
      <c r="B149" s="2">
        <v>57.5</v>
      </c>
      <c r="C149" s="2">
        <v>5.7</v>
      </c>
      <c r="D149" s="2">
        <v>2.5</v>
      </c>
      <c r="E149" s="2">
        <v>0</v>
      </c>
      <c r="F149" s="2">
        <v>1</v>
      </c>
      <c r="G149" s="2">
        <v>22.2</v>
      </c>
      <c r="H149" s="5">
        <v>0.883786850160418</v>
      </c>
      <c r="I149" s="6">
        <v>49.7</v>
      </c>
      <c r="J149" s="2">
        <v>23.5</v>
      </c>
      <c r="K149" s="6">
        <v>58.7005026835845</v>
      </c>
      <c r="L149" s="10">
        <v>3.16427922938355</v>
      </c>
      <c r="M149" s="11">
        <v>0.0706197446208194</v>
      </c>
      <c r="O149" s="2">
        <v>57.5</v>
      </c>
      <c r="P149" s="2">
        <v>5.7</v>
      </c>
      <c r="Q149" s="2">
        <v>2.5</v>
      </c>
      <c r="R149" s="2">
        <v>0</v>
      </c>
      <c r="S149" s="2">
        <v>1</v>
      </c>
      <c r="T149" s="2">
        <v>22.2</v>
      </c>
      <c r="U149" s="19">
        <v>0.883786850160418</v>
      </c>
      <c r="V149" s="6">
        <v>49.7</v>
      </c>
      <c r="W149" s="2">
        <v>23.5</v>
      </c>
      <c r="X149" s="10">
        <v>58.7005026835845</v>
      </c>
      <c r="Y149" s="11">
        <v>3.16427922938355</v>
      </c>
      <c r="Z149" s="5">
        <v>0.0706197446208194</v>
      </c>
    </row>
    <row r="150" spans="2:26">
      <c r="B150" s="2">
        <v>60</v>
      </c>
      <c r="C150" s="2">
        <v>5.7</v>
      </c>
      <c r="D150" s="2">
        <v>2.5</v>
      </c>
      <c r="E150" s="2">
        <v>0</v>
      </c>
      <c r="F150" s="2">
        <v>1</v>
      </c>
      <c r="G150" s="2">
        <v>22.3</v>
      </c>
      <c r="H150" s="5">
        <v>0.868253123396246</v>
      </c>
      <c r="I150" s="6">
        <v>52.5</v>
      </c>
      <c r="J150" s="2">
        <v>25.2</v>
      </c>
      <c r="K150" s="6">
        <v>62.8306741529656</v>
      </c>
      <c r="L150" s="10">
        <v>3.13413943447274</v>
      </c>
      <c r="M150" s="11">
        <v>0.0654312169439371</v>
      </c>
      <c r="O150" s="2">
        <v>60</v>
      </c>
      <c r="P150" s="2">
        <v>5.7</v>
      </c>
      <c r="Q150" s="2">
        <v>2.5</v>
      </c>
      <c r="R150" s="2">
        <v>0</v>
      </c>
      <c r="S150" s="2">
        <v>1</v>
      </c>
      <c r="T150" s="2">
        <v>22.3</v>
      </c>
      <c r="U150" s="19">
        <v>0.868253123396246</v>
      </c>
      <c r="V150" s="6">
        <v>52.5</v>
      </c>
      <c r="W150" s="2">
        <v>25.2</v>
      </c>
      <c r="X150" s="10">
        <v>62.8306741529656</v>
      </c>
      <c r="Y150" s="11">
        <v>3.13413943447274</v>
      </c>
      <c r="Z150" s="5">
        <v>0.0654312169439371</v>
      </c>
    </row>
    <row r="151" spans="2:26">
      <c r="B151" s="2">
        <v>62.5</v>
      </c>
      <c r="C151" s="2">
        <v>5.7</v>
      </c>
      <c r="D151" s="2">
        <v>2.5</v>
      </c>
      <c r="E151" s="2">
        <v>0</v>
      </c>
      <c r="F151" s="2">
        <v>1</v>
      </c>
      <c r="G151" s="2">
        <v>22.3</v>
      </c>
      <c r="H151" s="5">
        <v>0.850790029374404</v>
      </c>
      <c r="I151" s="6">
        <v>55.4</v>
      </c>
      <c r="J151" s="2">
        <v>27.6</v>
      </c>
      <c r="K151" s="6">
        <v>66.3276854428232</v>
      </c>
      <c r="L151" s="10">
        <v>3.12548049523887</v>
      </c>
      <c r="M151" s="11">
        <v>0.0613276892430837</v>
      </c>
      <c r="O151" s="2">
        <v>62.5</v>
      </c>
      <c r="P151" s="2">
        <v>5.7</v>
      </c>
      <c r="Q151" s="2">
        <v>2.5</v>
      </c>
      <c r="R151" s="2">
        <v>0</v>
      </c>
      <c r="S151" s="2">
        <v>1</v>
      </c>
      <c r="T151" s="2">
        <v>22.3</v>
      </c>
      <c r="U151" s="19">
        <v>0.850790029374404</v>
      </c>
      <c r="V151" s="6">
        <v>55.4</v>
      </c>
      <c r="W151" s="2">
        <v>27.6</v>
      </c>
      <c r="X151" s="10">
        <v>66.3276854428232</v>
      </c>
      <c r="Y151" s="11">
        <v>3.12548049523887</v>
      </c>
      <c r="Z151" s="5">
        <v>0.0613276892430837</v>
      </c>
    </row>
    <row r="152" spans="2:26">
      <c r="B152" s="2">
        <v>65</v>
      </c>
      <c r="C152" s="2">
        <v>5.7</v>
      </c>
      <c r="D152" s="2">
        <v>2.5</v>
      </c>
      <c r="E152" s="2">
        <v>0</v>
      </c>
      <c r="F152" s="2">
        <v>1</v>
      </c>
      <c r="G152" s="2">
        <v>22.3</v>
      </c>
      <c r="H152" s="5">
        <v>0.831152647810126</v>
      </c>
      <c r="I152" s="6">
        <v>58.8</v>
      </c>
      <c r="J152" s="2">
        <v>29.9</v>
      </c>
      <c r="K152" s="6">
        <v>63.7204508778057</v>
      </c>
      <c r="L152" s="10">
        <v>2.81596775707135</v>
      </c>
      <c r="M152" s="11">
        <v>0.0444464310119026</v>
      </c>
      <c r="O152" s="2">
        <v>65</v>
      </c>
      <c r="P152" s="2">
        <v>5.7</v>
      </c>
      <c r="Q152" s="2">
        <v>2.5</v>
      </c>
      <c r="R152" s="2">
        <v>0</v>
      </c>
      <c r="S152" s="2">
        <v>1</v>
      </c>
      <c r="T152" s="2">
        <v>22.3</v>
      </c>
      <c r="U152" s="19">
        <v>0.831152647810126</v>
      </c>
      <c r="V152" s="6">
        <v>58.8</v>
      </c>
      <c r="W152" s="2">
        <v>29.9</v>
      </c>
      <c r="X152" s="10">
        <v>63.7204508778057</v>
      </c>
      <c r="Y152" s="11">
        <v>2.81596775707135</v>
      </c>
      <c r="Z152" s="5">
        <v>0.0444464310119026</v>
      </c>
    </row>
    <row r="153" spans="2:26">
      <c r="B153" s="2">
        <v>67.5</v>
      </c>
      <c r="C153" s="2">
        <v>5.7</v>
      </c>
      <c r="D153" s="2">
        <v>2.5</v>
      </c>
      <c r="E153" s="2">
        <v>0</v>
      </c>
      <c r="F153" s="2">
        <v>1</v>
      </c>
      <c r="G153" s="2">
        <v>22.3</v>
      </c>
      <c r="H153" s="5">
        <v>0.809058400419842</v>
      </c>
      <c r="I153" s="6">
        <v>62.2</v>
      </c>
      <c r="J153" s="2">
        <v>32.3</v>
      </c>
      <c r="K153" s="6">
        <v>63.3210622769881</v>
      </c>
      <c r="L153" s="10">
        <v>2.6478525378494</v>
      </c>
      <c r="M153" s="11">
        <v>0.0425324704258248</v>
      </c>
      <c r="O153" s="2">
        <v>67.5</v>
      </c>
      <c r="P153" s="2">
        <v>5.7</v>
      </c>
      <c r="Q153" s="2">
        <v>2.5</v>
      </c>
      <c r="R153" s="2">
        <v>0</v>
      </c>
      <c r="S153" s="2">
        <v>1</v>
      </c>
      <c r="T153" s="2">
        <v>22.3</v>
      </c>
      <c r="U153" s="19">
        <v>0.809058400419842</v>
      </c>
      <c r="V153" s="6">
        <v>62.2</v>
      </c>
      <c r="W153" s="2">
        <v>32.3</v>
      </c>
      <c r="X153" s="10">
        <v>63.3210622769881</v>
      </c>
      <c r="Y153" s="11">
        <v>2.6478525378494</v>
      </c>
      <c r="Z153" s="5">
        <v>0.0425324704258248</v>
      </c>
    </row>
    <row r="154" spans="2:26">
      <c r="B154" s="2">
        <v>70</v>
      </c>
      <c r="C154" s="2">
        <v>5.7</v>
      </c>
      <c r="D154" s="2">
        <v>2.5</v>
      </c>
      <c r="E154" s="2">
        <v>0</v>
      </c>
      <c r="F154" s="2">
        <v>1</v>
      </c>
      <c r="G154" s="2">
        <v>22.2</v>
      </c>
      <c r="H154" s="5">
        <v>0.784179277129304</v>
      </c>
      <c r="I154" s="6">
        <v>65.2</v>
      </c>
      <c r="J154" s="2">
        <v>34.8</v>
      </c>
      <c r="K154" s="6">
        <v>65.8784732044702</v>
      </c>
      <c r="L154" s="10">
        <v>2.62718318159925</v>
      </c>
      <c r="M154" s="11">
        <v>0.0413296795640493</v>
      </c>
      <c r="O154" s="2">
        <v>70</v>
      </c>
      <c r="P154" s="2">
        <v>5.7</v>
      </c>
      <c r="Q154" s="2">
        <v>2.5</v>
      </c>
      <c r="R154" s="2">
        <v>0</v>
      </c>
      <c r="S154" s="2">
        <v>1</v>
      </c>
      <c r="T154" s="2">
        <v>22.2</v>
      </c>
      <c r="U154" s="19">
        <v>0.784179277129304</v>
      </c>
      <c r="V154" s="6">
        <v>65.2</v>
      </c>
      <c r="W154" s="2">
        <v>34.8</v>
      </c>
      <c r="X154" s="10">
        <v>65.8784732044702</v>
      </c>
      <c r="Y154" s="11">
        <v>2.62718318159925</v>
      </c>
      <c r="Z154" s="5">
        <v>0.0413296795640493</v>
      </c>
    </row>
    <row r="155" spans="2:26">
      <c r="B155" s="2">
        <v>45</v>
      </c>
      <c r="C155" s="2">
        <v>6.5</v>
      </c>
      <c r="D155" s="2">
        <v>2.5</v>
      </c>
      <c r="E155" s="2">
        <v>0</v>
      </c>
      <c r="F155" s="2">
        <v>1</v>
      </c>
      <c r="G155" s="2">
        <v>22.2</v>
      </c>
      <c r="H155" s="5">
        <v>0.93913980595102</v>
      </c>
      <c r="I155" s="6">
        <v>38</v>
      </c>
      <c r="J155" s="2">
        <v>14.6</v>
      </c>
      <c r="K155" s="6">
        <v>36.292836456436</v>
      </c>
      <c r="L155" s="10">
        <v>3.13205166163456</v>
      </c>
      <c r="M155" s="11">
        <v>0.0620824051560482</v>
      </c>
      <c r="O155" s="2">
        <v>45</v>
      </c>
      <c r="P155" s="2">
        <v>6.5</v>
      </c>
      <c r="Q155" s="2">
        <v>2.5</v>
      </c>
      <c r="R155" s="2">
        <v>0</v>
      </c>
      <c r="S155" s="2">
        <v>1</v>
      </c>
      <c r="T155" s="2">
        <v>22.2</v>
      </c>
      <c r="U155" s="19">
        <v>0.93913980595102</v>
      </c>
      <c r="V155" s="6">
        <v>38</v>
      </c>
      <c r="W155" s="2">
        <v>14.6</v>
      </c>
      <c r="X155" s="10">
        <v>36.292836456436</v>
      </c>
      <c r="Y155" s="11">
        <v>3.13205166163456</v>
      </c>
      <c r="Z155" s="5">
        <v>0.0620824051560482</v>
      </c>
    </row>
    <row r="156" spans="2:26">
      <c r="B156" s="2">
        <v>47.5</v>
      </c>
      <c r="C156" s="2">
        <v>6.5</v>
      </c>
      <c r="D156" s="2">
        <v>2.5</v>
      </c>
      <c r="E156" s="2">
        <v>0</v>
      </c>
      <c r="F156" s="2">
        <v>1</v>
      </c>
      <c r="G156" s="2">
        <v>22.2</v>
      </c>
      <c r="H156" s="5">
        <v>0.930523923822277</v>
      </c>
      <c r="I156" s="6">
        <v>40.9</v>
      </c>
      <c r="J156" s="2">
        <v>16.3</v>
      </c>
      <c r="K156" s="6">
        <v>38.4268167972734</v>
      </c>
      <c r="L156" s="10">
        <v>2.90141010746495</v>
      </c>
      <c r="M156" s="11">
        <v>0.0590725024662089</v>
      </c>
      <c r="O156" s="2">
        <v>47.5</v>
      </c>
      <c r="P156" s="2">
        <v>6.5</v>
      </c>
      <c r="Q156" s="2">
        <v>2.5</v>
      </c>
      <c r="R156" s="2">
        <v>0</v>
      </c>
      <c r="S156" s="2">
        <v>1</v>
      </c>
      <c r="T156" s="2">
        <v>22.2</v>
      </c>
      <c r="U156" s="19">
        <v>0.930523923822277</v>
      </c>
      <c r="V156" s="6">
        <v>40.9</v>
      </c>
      <c r="W156" s="2">
        <v>16.3</v>
      </c>
      <c r="X156" s="10">
        <v>38.4268167972734</v>
      </c>
      <c r="Y156" s="11">
        <v>2.90141010746495</v>
      </c>
      <c r="Z156" s="5">
        <v>0.0590725024662089</v>
      </c>
    </row>
    <row r="157" spans="2:26">
      <c r="B157" s="2">
        <v>50</v>
      </c>
      <c r="C157" s="2">
        <v>6.5</v>
      </c>
      <c r="D157" s="2">
        <v>2.5</v>
      </c>
      <c r="E157" s="2">
        <v>0</v>
      </c>
      <c r="F157" s="2">
        <v>1</v>
      </c>
      <c r="G157" s="2">
        <v>22.2</v>
      </c>
      <c r="H157" s="5">
        <v>0.920818198615511</v>
      </c>
      <c r="I157" s="6">
        <v>43.1</v>
      </c>
      <c r="J157" s="2">
        <v>18.3</v>
      </c>
      <c r="K157" s="6">
        <v>43.3516476758347</v>
      </c>
      <c r="L157" s="10">
        <v>2.99832681525706</v>
      </c>
      <c r="M157" s="11">
        <v>0.0562795659602085</v>
      </c>
      <c r="O157" s="2">
        <v>50</v>
      </c>
      <c r="P157" s="2">
        <v>6.5</v>
      </c>
      <c r="Q157" s="2">
        <v>2.5</v>
      </c>
      <c r="R157" s="2">
        <v>0</v>
      </c>
      <c r="S157" s="2">
        <v>1</v>
      </c>
      <c r="T157" s="2">
        <v>22.2</v>
      </c>
      <c r="U157" s="19">
        <v>0.920818198615511</v>
      </c>
      <c r="V157" s="6">
        <v>43.1</v>
      </c>
      <c r="W157" s="2">
        <v>18.3</v>
      </c>
      <c r="X157" s="10">
        <v>43.3516476758347</v>
      </c>
      <c r="Y157" s="11">
        <v>2.99832681525706</v>
      </c>
      <c r="Z157" s="5">
        <v>0.0562795659602085</v>
      </c>
    </row>
    <row r="158" spans="2:26">
      <c r="B158" s="2">
        <v>52.5</v>
      </c>
      <c r="C158" s="2">
        <v>6.5</v>
      </c>
      <c r="D158" s="2">
        <v>2.5</v>
      </c>
      <c r="E158" s="2">
        <v>0</v>
      </c>
      <c r="F158" s="2">
        <v>1</v>
      </c>
      <c r="G158" s="2">
        <v>22.3</v>
      </c>
      <c r="H158" s="5">
        <v>0.909893599259399</v>
      </c>
      <c r="I158" s="6">
        <v>46.2</v>
      </c>
      <c r="J158" s="2">
        <v>19.4</v>
      </c>
      <c r="K158" s="6">
        <v>44.7247384199421</v>
      </c>
      <c r="L158" s="10">
        <v>2.71514490709756</v>
      </c>
      <c r="M158" s="11">
        <v>0.0520703619554137</v>
      </c>
      <c r="O158" s="2">
        <v>52.5</v>
      </c>
      <c r="P158" s="2">
        <v>6.5</v>
      </c>
      <c r="Q158" s="2">
        <v>2.5</v>
      </c>
      <c r="R158" s="2">
        <v>0</v>
      </c>
      <c r="S158" s="2">
        <v>1</v>
      </c>
      <c r="T158" s="2">
        <v>22.3</v>
      </c>
      <c r="U158" s="19">
        <v>0.909893599259399</v>
      </c>
      <c r="V158" s="6">
        <v>46.2</v>
      </c>
      <c r="W158" s="2">
        <v>19.4</v>
      </c>
      <c r="X158" s="10">
        <v>44.7247384199421</v>
      </c>
      <c r="Y158" s="11">
        <v>2.71514490709756</v>
      </c>
      <c r="Z158" s="5">
        <v>0.0520703619554137</v>
      </c>
    </row>
    <row r="159" spans="2:26">
      <c r="B159" s="2">
        <v>55</v>
      </c>
      <c r="C159" s="2">
        <v>6.5</v>
      </c>
      <c r="D159" s="2">
        <v>2.5</v>
      </c>
      <c r="E159" s="2">
        <v>0</v>
      </c>
      <c r="F159" s="2">
        <v>1</v>
      </c>
      <c r="G159" s="2">
        <v>22.3</v>
      </c>
      <c r="H159" s="5">
        <v>0.89760467536325</v>
      </c>
      <c r="I159" s="6">
        <v>48.3</v>
      </c>
      <c r="J159" s="2">
        <v>21.5</v>
      </c>
      <c r="K159" s="6">
        <v>51.1390792674063</v>
      </c>
      <c r="L159" s="10">
        <v>2.91003046668826</v>
      </c>
      <c r="M159" s="11">
        <v>0.0492910949865242</v>
      </c>
      <c r="O159" s="2">
        <v>55</v>
      </c>
      <c r="P159" s="2">
        <v>6.5</v>
      </c>
      <c r="Q159" s="2">
        <v>2.5</v>
      </c>
      <c r="R159" s="2">
        <v>0</v>
      </c>
      <c r="S159" s="2">
        <v>1</v>
      </c>
      <c r="T159" s="2">
        <v>22.3</v>
      </c>
      <c r="U159" s="19">
        <v>0.89760467536325</v>
      </c>
      <c r="V159" s="6">
        <v>48.3</v>
      </c>
      <c r="W159" s="2">
        <v>21.5</v>
      </c>
      <c r="X159" s="10">
        <v>51.1390792674063</v>
      </c>
      <c r="Y159" s="11">
        <v>2.91003046668826</v>
      </c>
      <c r="Z159" s="5">
        <v>0.0492910949865242</v>
      </c>
    </row>
    <row r="160" spans="2:26">
      <c r="B160" s="2">
        <v>57.5</v>
      </c>
      <c r="C160" s="2">
        <v>6.5</v>
      </c>
      <c r="D160" s="2">
        <v>2.5</v>
      </c>
      <c r="E160" s="2">
        <v>0</v>
      </c>
      <c r="F160" s="2">
        <v>1</v>
      </c>
      <c r="G160" s="2">
        <v>22.3</v>
      </c>
      <c r="H160" s="5">
        <v>0.883786850160418</v>
      </c>
      <c r="I160" s="6">
        <v>50.8</v>
      </c>
      <c r="J160" s="2">
        <v>23.3</v>
      </c>
      <c r="K160" s="6">
        <v>56.5659616388304</v>
      </c>
      <c r="L160" s="10">
        <v>2.97906007697399</v>
      </c>
      <c r="M160" s="11">
        <v>0.0462464718937019</v>
      </c>
      <c r="O160" s="2">
        <v>57.5</v>
      </c>
      <c r="P160" s="2">
        <v>6.5</v>
      </c>
      <c r="Q160" s="2">
        <v>2.5</v>
      </c>
      <c r="R160" s="2">
        <v>0</v>
      </c>
      <c r="S160" s="2">
        <v>1</v>
      </c>
      <c r="T160" s="2">
        <v>22.3</v>
      </c>
      <c r="U160" s="19">
        <v>0.883786850160418</v>
      </c>
      <c r="V160" s="6">
        <v>50.8</v>
      </c>
      <c r="W160" s="2">
        <v>23.3</v>
      </c>
      <c r="X160" s="10">
        <v>56.5659616388304</v>
      </c>
      <c r="Y160" s="11">
        <v>2.97906007697399</v>
      </c>
      <c r="Z160" s="5">
        <v>0.0462464718937019</v>
      </c>
    </row>
    <row r="161" spans="2:26">
      <c r="B161" s="2">
        <v>60</v>
      </c>
      <c r="C161" s="2">
        <v>6.5</v>
      </c>
      <c r="D161" s="2">
        <v>2.5</v>
      </c>
      <c r="E161" s="2">
        <v>0</v>
      </c>
      <c r="F161" s="2">
        <v>1</v>
      </c>
      <c r="G161" s="2">
        <v>22.4</v>
      </c>
      <c r="H161" s="5">
        <v>0.868253123396246</v>
      </c>
      <c r="I161" s="6">
        <v>53.8</v>
      </c>
      <c r="J161" s="2">
        <v>25.3</v>
      </c>
      <c r="K161" s="6">
        <v>58.5777446539999</v>
      </c>
      <c r="L161" s="10">
        <v>2.87432292392948</v>
      </c>
      <c r="M161" s="11">
        <v>0.0433300257439266</v>
      </c>
      <c r="O161" s="2">
        <v>60</v>
      </c>
      <c r="P161" s="2">
        <v>6.5</v>
      </c>
      <c r="Q161" s="2">
        <v>2.5</v>
      </c>
      <c r="R161" s="2">
        <v>0</v>
      </c>
      <c r="S161" s="2">
        <v>1</v>
      </c>
      <c r="T161" s="2">
        <v>22.4</v>
      </c>
      <c r="U161" s="19">
        <v>0.868253123396246</v>
      </c>
      <c r="V161" s="6">
        <v>53.8</v>
      </c>
      <c r="W161" s="2">
        <v>25.3</v>
      </c>
      <c r="X161" s="10">
        <v>58.5777446539999</v>
      </c>
      <c r="Y161" s="11">
        <v>2.87432292392948</v>
      </c>
      <c r="Z161" s="5">
        <v>0.0433300257439266</v>
      </c>
    </row>
    <row r="162" spans="2:26">
      <c r="B162" s="2">
        <v>62.5</v>
      </c>
      <c r="C162" s="2">
        <v>6.5</v>
      </c>
      <c r="D162" s="2">
        <v>2.5</v>
      </c>
      <c r="E162" s="2">
        <v>0</v>
      </c>
      <c r="F162" s="2">
        <v>1</v>
      </c>
      <c r="G162" s="2">
        <v>22.4</v>
      </c>
      <c r="H162" s="5">
        <v>0.850790029374404</v>
      </c>
      <c r="I162" s="6">
        <v>56.2</v>
      </c>
      <c r="J162" s="2">
        <v>28</v>
      </c>
      <c r="K162" s="6">
        <v>65.9121582945978</v>
      </c>
      <c r="L162" s="10">
        <v>3.12291186369451</v>
      </c>
      <c r="M162" s="11">
        <v>0.0412329130615695</v>
      </c>
      <c r="O162" s="2">
        <v>62.5</v>
      </c>
      <c r="P162" s="2">
        <v>6.5</v>
      </c>
      <c r="Q162" s="2">
        <v>2.5</v>
      </c>
      <c r="R162" s="2">
        <v>0</v>
      </c>
      <c r="S162" s="2">
        <v>1</v>
      </c>
      <c r="T162" s="2">
        <v>22.4</v>
      </c>
      <c r="U162" s="19">
        <v>0.850790029374404</v>
      </c>
      <c r="V162" s="6">
        <v>56.2</v>
      </c>
      <c r="W162" s="2">
        <v>28</v>
      </c>
      <c r="X162" s="10">
        <v>65.9121582945978</v>
      </c>
      <c r="Y162" s="11">
        <v>3.12291186369451</v>
      </c>
      <c r="Z162" s="5">
        <v>0.0412329130615695</v>
      </c>
    </row>
    <row r="163" spans="2:26">
      <c r="B163" s="2">
        <v>65</v>
      </c>
      <c r="C163" s="2">
        <v>6.5</v>
      </c>
      <c r="D163" s="2">
        <v>2.5</v>
      </c>
      <c r="E163" s="2">
        <v>0</v>
      </c>
      <c r="F163" s="2">
        <v>1</v>
      </c>
      <c r="G163" s="2">
        <v>22.4</v>
      </c>
      <c r="H163" s="5">
        <v>0.831152647810126</v>
      </c>
      <c r="I163" s="6">
        <v>59</v>
      </c>
      <c r="J163" s="2">
        <v>30.3</v>
      </c>
      <c r="K163" s="6">
        <v>70.0314745214019</v>
      </c>
      <c r="L163" s="10">
        <v>3.14262344945362</v>
      </c>
      <c r="M163" s="11">
        <v>0.0391367457748665</v>
      </c>
      <c r="O163" s="2">
        <v>65</v>
      </c>
      <c r="P163" s="2">
        <v>6.5</v>
      </c>
      <c r="Q163" s="2">
        <v>2.5</v>
      </c>
      <c r="R163" s="2">
        <v>0</v>
      </c>
      <c r="S163" s="2">
        <v>1</v>
      </c>
      <c r="T163" s="2">
        <v>22.4</v>
      </c>
      <c r="U163" s="19">
        <v>0.831152647810126</v>
      </c>
      <c r="V163" s="6">
        <v>59</v>
      </c>
      <c r="W163" s="2">
        <v>30.3</v>
      </c>
      <c r="X163" s="10">
        <v>70.0314745214019</v>
      </c>
      <c r="Y163" s="11">
        <v>3.14262344945362</v>
      </c>
      <c r="Z163" s="5">
        <v>0.0391367457748665</v>
      </c>
    </row>
    <row r="164" spans="2:26">
      <c r="B164" s="2">
        <v>67.5</v>
      </c>
      <c r="C164" s="2">
        <v>6.5</v>
      </c>
      <c r="D164" s="2">
        <v>2.5</v>
      </c>
      <c r="E164" s="2">
        <v>0</v>
      </c>
      <c r="F164" s="2">
        <v>1</v>
      </c>
      <c r="G164" s="2">
        <v>22.3</v>
      </c>
      <c r="H164" s="5">
        <v>0.809058400419842</v>
      </c>
      <c r="I164" s="6">
        <v>61.5</v>
      </c>
      <c r="J164" s="2">
        <v>32.5</v>
      </c>
      <c r="K164" s="6">
        <v>78.2869769325753</v>
      </c>
      <c r="L164" s="10">
        <v>3.33214955159476</v>
      </c>
      <c r="M164" s="11">
        <v>0.0374197464560577</v>
      </c>
      <c r="O164" s="2">
        <v>67.5</v>
      </c>
      <c r="P164" s="2">
        <v>6.5</v>
      </c>
      <c r="Q164" s="2">
        <v>2.5</v>
      </c>
      <c r="R164" s="2">
        <v>0</v>
      </c>
      <c r="S164" s="2">
        <v>1</v>
      </c>
      <c r="T164" s="2">
        <v>22.3</v>
      </c>
      <c r="U164" s="19">
        <v>0.809058400419842</v>
      </c>
      <c r="V164" s="6">
        <v>61.5</v>
      </c>
      <c r="W164" s="2">
        <v>32.5</v>
      </c>
      <c r="X164" s="10">
        <v>78.2869769325753</v>
      </c>
      <c r="Y164" s="11">
        <v>3.33214955159476</v>
      </c>
      <c r="Z164" s="5">
        <v>0.0374197464560577</v>
      </c>
    </row>
    <row r="165" spans="2:26">
      <c r="B165" s="2">
        <v>70</v>
      </c>
      <c r="C165" s="2">
        <v>6.5</v>
      </c>
      <c r="D165" s="2">
        <v>2.5</v>
      </c>
      <c r="E165" s="2">
        <v>0</v>
      </c>
      <c r="F165" s="2">
        <v>1</v>
      </c>
      <c r="G165" s="2">
        <v>22.3</v>
      </c>
      <c r="H165" s="5">
        <v>0.784179277129304</v>
      </c>
      <c r="I165" s="6">
        <v>64</v>
      </c>
      <c r="J165" s="2">
        <v>35.2</v>
      </c>
      <c r="K165" s="6">
        <v>86.8903258485003</v>
      </c>
      <c r="L165" s="10">
        <v>3.58503677230165</v>
      </c>
      <c r="M165" s="11">
        <v>0.036496370095611</v>
      </c>
      <c r="O165" s="2">
        <v>70</v>
      </c>
      <c r="P165" s="2">
        <v>6.5</v>
      </c>
      <c r="Q165" s="2">
        <v>2.5</v>
      </c>
      <c r="R165" s="2">
        <v>0</v>
      </c>
      <c r="S165" s="2">
        <v>1</v>
      </c>
      <c r="T165" s="2">
        <v>22.3</v>
      </c>
      <c r="U165" s="19">
        <v>0.784179277129304</v>
      </c>
      <c r="V165" s="6">
        <v>64</v>
      </c>
      <c r="W165" s="2">
        <v>35.2</v>
      </c>
      <c r="X165" s="10">
        <v>86.8903258485003</v>
      </c>
      <c r="Y165" s="11">
        <v>3.58503677230165</v>
      </c>
      <c r="Z165" s="5">
        <v>0.036496370095611</v>
      </c>
    </row>
    <row r="166" spans="2:26">
      <c r="B166" s="2">
        <v>45</v>
      </c>
      <c r="C166" s="2">
        <v>7.2</v>
      </c>
      <c r="D166" s="2">
        <v>2.5</v>
      </c>
      <c r="E166" s="2">
        <v>0</v>
      </c>
      <c r="F166" s="2">
        <v>1</v>
      </c>
      <c r="G166" s="2">
        <v>22</v>
      </c>
      <c r="H166" s="5">
        <v>0.93913980595102</v>
      </c>
      <c r="I166" s="6">
        <v>38.6</v>
      </c>
      <c r="J166" s="2">
        <v>17.5</v>
      </c>
      <c r="K166" s="6">
        <v>37.6921727675598</v>
      </c>
      <c r="L166" s="10">
        <v>3.75106595940835</v>
      </c>
      <c r="M166" s="11">
        <v>0.0616578896647774</v>
      </c>
      <c r="O166" s="2">
        <v>45</v>
      </c>
      <c r="P166" s="2">
        <v>7.2</v>
      </c>
      <c r="Q166" s="2">
        <v>2.5</v>
      </c>
      <c r="R166" s="2">
        <v>0</v>
      </c>
      <c r="S166" s="2">
        <v>1</v>
      </c>
      <c r="T166" s="2">
        <v>22</v>
      </c>
      <c r="U166" s="19">
        <v>0.93913980595102</v>
      </c>
      <c r="V166" s="6">
        <v>38.6</v>
      </c>
      <c r="W166" s="2">
        <v>17.5</v>
      </c>
      <c r="X166" s="10">
        <v>37.6921727675598</v>
      </c>
      <c r="Y166" s="11">
        <v>3.75106595940835</v>
      </c>
      <c r="Z166" s="5">
        <v>0.0616578896647774</v>
      </c>
    </row>
    <row r="167" spans="2:26">
      <c r="B167" s="2">
        <v>47.5</v>
      </c>
      <c r="C167" s="2">
        <v>7.2</v>
      </c>
      <c r="D167" s="2">
        <v>2.5</v>
      </c>
      <c r="E167" s="2">
        <v>0</v>
      </c>
      <c r="F167" s="2">
        <v>1</v>
      </c>
      <c r="G167" s="2">
        <v>22</v>
      </c>
      <c r="H167" s="5">
        <v>0.930523923822277</v>
      </c>
      <c r="I167" s="6">
        <v>39.2</v>
      </c>
      <c r="J167" s="2">
        <v>19.3</v>
      </c>
      <c r="K167" s="6">
        <v>49.6436515232072</v>
      </c>
      <c r="L167" s="10">
        <v>4.60494552944875</v>
      </c>
      <c r="M167" s="11">
        <v>0.057975029303957</v>
      </c>
      <c r="O167" s="2">
        <v>47.5</v>
      </c>
      <c r="P167" s="2">
        <v>7.2</v>
      </c>
      <c r="Q167" s="2">
        <v>2.5</v>
      </c>
      <c r="R167" s="2">
        <v>0</v>
      </c>
      <c r="S167" s="2">
        <v>1</v>
      </c>
      <c r="T167" s="2">
        <v>22</v>
      </c>
      <c r="U167" s="19">
        <v>0.930523923822277</v>
      </c>
      <c r="V167" s="6">
        <v>39.2</v>
      </c>
      <c r="W167" s="2">
        <v>19.3</v>
      </c>
      <c r="X167" s="10">
        <v>49.6436515232072</v>
      </c>
      <c r="Y167" s="11">
        <v>4.60494552944875</v>
      </c>
      <c r="Z167" s="5">
        <v>0.057975029303957</v>
      </c>
    </row>
    <row r="168" spans="2:26">
      <c r="B168" s="2">
        <v>50</v>
      </c>
      <c r="C168" s="2">
        <v>7.2</v>
      </c>
      <c r="D168" s="2">
        <v>2.5</v>
      </c>
      <c r="E168" s="2">
        <v>0</v>
      </c>
      <c r="F168" s="2">
        <v>1</v>
      </c>
      <c r="G168" s="2">
        <v>22</v>
      </c>
      <c r="H168" s="5">
        <v>0.920818198615511</v>
      </c>
      <c r="I168" s="6">
        <v>40.5</v>
      </c>
      <c r="J168" s="2">
        <v>20.4</v>
      </c>
      <c r="K168" s="6">
        <v>59.7871135096979</v>
      </c>
      <c r="L168" s="10">
        <v>4.87962940174664</v>
      </c>
      <c r="M168" s="11">
        <v>0.0535708964540811</v>
      </c>
      <c r="O168" s="2">
        <v>50</v>
      </c>
      <c r="P168" s="2">
        <v>7.2</v>
      </c>
      <c r="Q168" s="2">
        <v>2.5</v>
      </c>
      <c r="R168" s="2">
        <v>0</v>
      </c>
      <c r="S168" s="2">
        <v>1</v>
      </c>
      <c r="T168" s="2">
        <v>22</v>
      </c>
      <c r="U168" s="19">
        <v>0.920818198615511</v>
      </c>
      <c r="V168" s="6">
        <v>40.5</v>
      </c>
      <c r="W168" s="2">
        <v>20.4</v>
      </c>
      <c r="X168" s="10">
        <v>59.7871135096979</v>
      </c>
      <c r="Y168" s="11">
        <v>4.87962940174664</v>
      </c>
      <c r="Z168" s="5">
        <v>0.0535708964540811</v>
      </c>
    </row>
    <row r="169" spans="2:26">
      <c r="B169" s="2">
        <v>52.5</v>
      </c>
      <c r="C169" s="2">
        <v>7.2</v>
      </c>
      <c r="D169" s="2">
        <v>2.5</v>
      </c>
      <c r="E169" s="2">
        <v>0</v>
      </c>
      <c r="F169" s="2">
        <v>1</v>
      </c>
      <c r="G169" s="2">
        <v>22.1</v>
      </c>
      <c r="H169" s="5">
        <v>0.909893599259399</v>
      </c>
      <c r="I169" s="6">
        <v>42</v>
      </c>
      <c r="J169" s="2">
        <v>21.7</v>
      </c>
      <c r="K169" s="6">
        <v>70.3161377013072</v>
      </c>
      <c r="L169" s="10">
        <v>5.19458399264461</v>
      </c>
      <c r="M169" s="11">
        <v>0.0494725839383211</v>
      </c>
      <c r="O169" s="2">
        <v>52.5</v>
      </c>
      <c r="P169" s="2">
        <v>7.2</v>
      </c>
      <c r="Q169" s="2">
        <v>2.5</v>
      </c>
      <c r="R169" s="2">
        <v>0</v>
      </c>
      <c r="S169" s="2">
        <v>1</v>
      </c>
      <c r="T169" s="2">
        <v>22.1</v>
      </c>
      <c r="U169" s="19">
        <v>0.909893599259399</v>
      </c>
      <c r="V169" s="6">
        <v>42</v>
      </c>
      <c r="W169" s="2">
        <v>21.7</v>
      </c>
      <c r="X169" s="10">
        <v>70.3161377013072</v>
      </c>
      <c r="Y169" s="11">
        <v>5.19458399264461</v>
      </c>
      <c r="Z169" s="5">
        <v>0.0494725839383211</v>
      </c>
    </row>
    <row r="170" spans="2:26">
      <c r="B170" s="2">
        <v>55</v>
      </c>
      <c r="C170" s="2">
        <v>7.2</v>
      </c>
      <c r="D170" s="2">
        <v>2.5</v>
      </c>
      <c r="E170" s="2">
        <v>0</v>
      </c>
      <c r="F170" s="2">
        <v>1</v>
      </c>
      <c r="G170" s="2">
        <v>22.1</v>
      </c>
      <c r="H170" s="5">
        <v>0.89760467536325</v>
      </c>
      <c r="I170" s="6">
        <v>43.5</v>
      </c>
      <c r="J170" s="2">
        <v>23.2</v>
      </c>
      <c r="K170" s="6">
        <v>82.2754287790443</v>
      </c>
      <c r="L170" s="10">
        <v>5.56424531260027</v>
      </c>
      <c r="M170" s="11">
        <v>0.0460257506865153</v>
      </c>
      <c r="O170" s="2">
        <v>55</v>
      </c>
      <c r="P170" s="2">
        <v>7.2</v>
      </c>
      <c r="Q170" s="2">
        <v>2.5</v>
      </c>
      <c r="R170" s="2">
        <v>0</v>
      </c>
      <c r="S170" s="2">
        <v>1</v>
      </c>
      <c r="T170" s="2">
        <v>22.1</v>
      </c>
      <c r="U170" s="19">
        <v>0.89760467536325</v>
      </c>
      <c r="V170" s="6">
        <v>43.5</v>
      </c>
      <c r="W170" s="2">
        <v>23.2</v>
      </c>
      <c r="X170" s="10">
        <v>82.2754287790443</v>
      </c>
      <c r="Y170" s="11">
        <v>5.56424531260027</v>
      </c>
      <c r="Z170" s="5">
        <v>0.0460257506865153</v>
      </c>
    </row>
    <row r="171" spans="2:26">
      <c r="B171" s="2">
        <v>57.5</v>
      </c>
      <c r="C171" s="2">
        <v>7.2</v>
      </c>
      <c r="D171" s="2">
        <v>2.5</v>
      </c>
      <c r="E171" s="2">
        <v>0</v>
      </c>
      <c r="F171" s="2">
        <v>1</v>
      </c>
      <c r="G171" s="2">
        <v>22.2</v>
      </c>
      <c r="H171" s="5">
        <v>0.883786850160418</v>
      </c>
      <c r="I171" s="6">
        <v>45.5</v>
      </c>
      <c r="J171" s="2">
        <v>24.8</v>
      </c>
      <c r="K171" s="6">
        <v>93.1643799082702</v>
      </c>
      <c r="L171" s="10">
        <v>5.80150681581898</v>
      </c>
      <c r="M171" s="11">
        <v>0.0427120788959989</v>
      </c>
      <c r="O171" s="2">
        <v>57.5</v>
      </c>
      <c r="P171" s="2">
        <v>7.2</v>
      </c>
      <c r="Q171" s="2">
        <v>2.5</v>
      </c>
      <c r="R171" s="2">
        <v>0</v>
      </c>
      <c r="S171" s="2">
        <v>1</v>
      </c>
      <c r="T171" s="2">
        <v>22.2</v>
      </c>
      <c r="U171" s="19">
        <v>0.883786850160418</v>
      </c>
      <c r="V171" s="6">
        <v>45.5</v>
      </c>
      <c r="W171" s="2">
        <v>24.8</v>
      </c>
      <c r="X171" s="10">
        <v>93.1643799082702</v>
      </c>
      <c r="Y171" s="11">
        <v>5.80150681581898</v>
      </c>
      <c r="Z171" s="5">
        <v>0.0427120788959989</v>
      </c>
    </row>
    <row r="172" spans="2:26">
      <c r="B172" s="2">
        <v>60</v>
      </c>
      <c r="C172" s="2">
        <v>7.2</v>
      </c>
      <c r="D172" s="2">
        <v>2.5</v>
      </c>
      <c r="E172" s="2">
        <v>0</v>
      </c>
      <c r="F172" s="2">
        <v>1</v>
      </c>
      <c r="G172" s="2">
        <v>22.2</v>
      </c>
      <c r="H172" s="5">
        <v>0.868253123396246</v>
      </c>
      <c r="I172" s="6">
        <v>48.5</v>
      </c>
      <c r="J172" s="2">
        <v>26.9</v>
      </c>
      <c r="K172" s="6">
        <v>99.8276717263061</v>
      </c>
      <c r="L172" s="10">
        <v>5.70966410334951</v>
      </c>
      <c r="M172" s="11">
        <v>0.0402110400258121</v>
      </c>
      <c r="O172" s="2">
        <v>60</v>
      </c>
      <c r="P172" s="2">
        <v>7.2</v>
      </c>
      <c r="Q172" s="2">
        <v>2.5</v>
      </c>
      <c r="R172" s="2">
        <v>0</v>
      </c>
      <c r="S172" s="2">
        <v>1</v>
      </c>
      <c r="T172" s="2">
        <v>22.2</v>
      </c>
      <c r="U172" s="19">
        <v>0.868253123396246</v>
      </c>
      <c r="V172" s="6">
        <v>48.5</v>
      </c>
      <c r="W172" s="2">
        <v>26.9</v>
      </c>
      <c r="X172" s="10">
        <v>99.8276717263061</v>
      </c>
      <c r="Y172" s="11">
        <v>5.70966410334951</v>
      </c>
      <c r="Z172" s="5">
        <v>0.0402110400258121</v>
      </c>
    </row>
    <row r="173" spans="2:26">
      <c r="B173" s="2">
        <v>62.5</v>
      </c>
      <c r="C173" s="2">
        <v>7.2</v>
      </c>
      <c r="D173" s="2">
        <v>2.5</v>
      </c>
      <c r="E173" s="2">
        <v>0</v>
      </c>
      <c r="F173" s="2">
        <v>1</v>
      </c>
      <c r="G173" s="2">
        <v>22.3</v>
      </c>
      <c r="H173" s="5">
        <v>0.850790029374404</v>
      </c>
      <c r="I173" s="6">
        <v>51.3</v>
      </c>
      <c r="J173" s="2">
        <v>28.6</v>
      </c>
      <c r="K173" s="6">
        <v>108.191246451604</v>
      </c>
      <c r="L173" s="10">
        <v>5.69739289617914</v>
      </c>
      <c r="M173" s="11">
        <v>0.0374913791772649</v>
      </c>
      <c r="O173" s="2">
        <v>62.5</v>
      </c>
      <c r="P173" s="2">
        <v>7.2</v>
      </c>
      <c r="Q173" s="2">
        <v>2.5</v>
      </c>
      <c r="R173" s="2">
        <v>0</v>
      </c>
      <c r="S173" s="2">
        <v>1</v>
      </c>
      <c r="T173" s="2">
        <v>22.3</v>
      </c>
      <c r="U173" s="19">
        <v>0.850790029374404</v>
      </c>
      <c r="V173" s="6">
        <v>51.3</v>
      </c>
      <c r="W173" s="2">
        <v>28.6</v>
      </c>
      <c r="X173" s="10">
        <v>108.191246451604</v>
      </c>
      <c r="Y173" s="11">
        <v>5.69739289617914</v>
      </c>
      <c r="Z173" s="5">
        <v>0.0374913791772649</v>
      </c>
    </row>
    <row r="174" spans="2:26">
      <c r="B174" s="2">
        <v>65</v>
      </c>
      <c r="C174" s="2">
        <v>7.2</v>
      </c>
      <c r="D174" s="2">
        <v>2.5</v>
      </c>
      <c r="E174" s="2">
        <v>0</v>
      </c>
      <c r="F174" s="2">
        <v>1</v>
      </c>
      <c r="G174" s="2">
        <v>22.4</v>
      </c>
      <c r="H174" s="5">
        <v>0.831152647810126</v>
      </c>
      <c r="I174" s="6">
        <v>54.4</v>
      </c>
      <c r="J174" s="2">
        <v>30.5</v>
      </c>
      <c r="K174" s="6">
        <v>115.243420830373</v>
      </c>
      <c r="L174" s="10">
        <v>5.63204703228184</v>
      </c>
      <c r="M174" s="11">
        <v>0.0352249732939454</v>
      </c>
      <c r="O174" s="2">
        <v>65</v>
      </c>
      <c r="P174" s="2">
        <v>7.2</v>
      </c>
      <c r="Q174" s="2">
        <v>2.5</v>
      </c>
      <c r="R174" s="2">
        <v>0</v>
      </c>
      <c r="S174" s="2">
        <v>1</v>
      </c>
      <c r="T174" s="2">
        <v>22.4</v>
      </c>
      <c r="U174" s="19">
        <v>0.831152647810126</v>
      </c>
      <c r="V174" s="6">
        <v>54.4</v>
      </c>
      <c r="W174" s="2">
        <v>30.5</v>
      </c>
      <c r="X174" s="10">
        <v>115.243420830373</v>
      </c>
      <c r="Y174" s="11">
        <v>5.63204703228184</v>
      </c>
      <c r="Z174" s="5">
        <v>0.0352249732939454</v>
      </c>
    </row>
    <row r="175" spans="2:26">
      <c r="B175" s="2">
        <v>67.5</v>
      </c>
      <c r="C175" s="2">
        <v>7.2</v>
      </c>
      <c r="D175" s="2">
        <v>2.5</v>
      </c>
      <c r="E175" s="2">
        <v>0</v>
      </c>
      <c r="F175" s="2">
        <v>1</v>
      </c>
      <c r="G175" s="2">
        <v>22.3</v>
      </c>
      <c r="H175" s="5">
        <v>0.809058400419842</v>
      </c>
      <c r="I175" s="6">
        <v>57.8</v>
      </c>
      <c r="J175" s="2">
        <v>32.9</v>
      </c>
      <c r="K175" s="6">
        <v>120.382815174598</v>
      </c>
      <c r="L175" s="10">
        <v>5.49990390926716</v>
      </c>
      <c r="M175" s="11">
        <v>0.0339025009132138</v>
      </c>
      <c r="O175" s="2">
        <v>67.5</v>
      </c>
      <c r="P175" s="2">
        <v>7.2</v>
      </c>
      <c r="Q175" s="2">
        <v>2.5</v>
      </c>
      <c r="R175" s="2">
        <v>0</v>
      </c>
      <c r="S175" s="2">
        <v>1</v>
      </c>
      <c r="T175" s="2">
        <v>22.3</v>
      </c>
      <c r="U175" s="19">
        <v>0.809058400419842</v>
      </c>
      <c r="V175" s="6">
        <v>57.8</v>
      </c>
      <c r="W175" s="2">
        <v>32.9</v>
      </c>
      <c r="X175" s="10">
        <v>120.382815174598</v>
      </c>
      <c r="Y175" s="11">
        <v>5.49990390926716</v>
      </c>
      <c r="Z175" s="5">
        <v>0.0339025009132138</v>
      </c>
    </row>
    <row r="176" spans="2:26">
      <c r="B176" s="2">
        <v>70</v>
      </c>
      <c r="C176" s="2">
        <v>7.2</v>
      </c>
      <c r="D176" s="2">
        <v>2.5</v>
      </c>
      <c r="E176" s="2">
        <v>0</v>
      </c>
      <c r="F176" s="2">
        <v>1</v>
      </c>
      <c r="G176" s="2">
        <v>22.3</v>
      </c>
      <c r="H176" s="5">
        <v>0.784179277129304</v>
      </c>
      <c r="I176" s="6">
        <v>60.9</v>
      </c>
      <c r="J176" s="2">
        <v>35.4</v>
      </c>
      <c r="K176" s="6">
        <v>128.312705283586</v>
      </c>
      <c r="L176" s="10">
        <v>5.57966586098572</v>
      </c>
      <c r="M176" s="11">
        <v>0.0329839117066079</v>
      </c>
      <c r="O176" s="2">
        <v>70</v>
      </c>
      <c r="P176" s="2">
        <v>7.2</v>
      </c>
      <c r="Q176" s="2">
        <v>2.5</v>
      </c>
      <c r="R176" s="2">
        <v>0</v>
      </c>
      <c r="S176" s="2">
        <v>1</v>
      </c>
      <c r="T176" s="2">
        <v>22.3</v>
      </c>
      <c r="U176" s="19">
        <v>0.784179277129304</v>
      </c>
      <c r="V176" s="6">
        <v>60.9</v>
      </c>
      <c r="W176" s="2">
        <v>35.4</v>
      </c>
      <c r="X176" s="10">
        <v>128.312705283586</v>
      </c>
      <c r="Y176" s="11">
        <v>5.57966586098572</v>
      </c>
      <c r="Z176" s="5">
        <v>0.0329839117066079</v>
      </c>
    </row>
    <row r="177" spans="2:26">
      <c r="B177" s="2">
        <v>45</v>
      </c>
      <c r="C177" s="2">
        <v>7.2</v>
      </c>
      <c r="D177" s="2">
        <v>4.5</v>
      </c>
      <c r="E177" s="2">
        <v>0</v>
      </c>
      <c r="F177" s="2">
        <v>1</v>
      </c>
      <c r="G177" s="2">
        <v>22.1</v>
      </c>
      <c r="H177" s="5">
        <v>0.93913980595102</v>
      </c>
      <c r="I177" s="6">
        <v>37.8</v>
      </c>
      <c r="J177" s="2">
        <v>19.9</v>
      </c>
      <c r="K177" s="6">
        <v>47.1738175450215</v>
      </c>
      <c r="L177" s="10">
        <v>6.14763404465717</v>
      </c>
      <c r="M177" s="11">
        <v>0.116910515540224</v>
      </c>
      <c r="O177" s="2">
        <v>45</v>
      </c>
      <c r="P177" s="2">
        <v>7.2</v>
      </c>
      <c r="Q177" s="2">
        <v>4.5</v>
      </c>
      <c r="R177" s="2">
        <v>0</v>
      </c>
      <c r="S177" s="2">
        <v>1</v>
      </c>
      <c r="T177" s="2">
        <v>22.1</v>
      </c>
      <c r="U177" s="19">
        <v>0.93913980595102</v>
      </c>
      <c r="V177" s="6">
        <v>37.8</v>
      </c>
      <c r="W177" s="2">
        <v>19.9</v>
      </c>
      <c r="X177" s="10">
        <v>47.1738175450215</v>
      </c>
      <c r="Y177" s="11">
        <v>6.14763404465717</v>
      </c>
      <c r="Z177" s="5">
        <v>0.116910515540224</v>
      </c>
    </row>
    <row r="178" spans="2:26">
      <c r="B178" s="2">
        <v>47.5</v>
      </c>
      <c r="C178" s="2">
        <v>7.2</v>
      </c>
      <c r="D178" s="2">
        <v>4.5</v>
      </c>
      <c r="E178" s="2">
        <v>0</v>
      </c>
      <c r="F178" s="2">
        <v>1</v>
      </c>
      <c r="G178" s="2">
        <v>22.1</v>
      </c>
      <c r="H178" s="5">
        <v>0.930523923822277</v>
      </c>
      <c r="I178" s="6">
        <v>38.6</v>
      </c>
      <c r="J178" s="2">
        <v>20.4</v>
      </c>
      <c r="K178" s="6">
        <v>58.1854348129961</v>
      </c>
      <c r="L178" s="10">
        <v>6.04077373574559</v>
      </c>
      <c r="M178" s="11">
        <v>0.106350389233287</v>
      </c>
      <c r="O178" s="2">
        <v>47.5</v>
      </c>
      <c r="P178" s="2">
        <v>7.2</v>
      </c>
      <c r="Q178" s="2">
        <v>4.5</v>
      </c>
      <c r="R178" s="2">
        <v>0</v>
      </c>
      <c r="S178" s="2">
        <v>1</v>
      </c>
      <c r="T178" s="2">
        <v>22.1</v>
      </c>
      <c r="U178" s="19">
        <v>0.930523923822277</v>
      </c>
      <c r="V178" s="6">
        <v>38.6</v>
      </c>
      <c r="W178" s="2">
        <v>20.4</v>
      </c>
      <c r="X178" s="10">
        <v>58.1854348129961</v>
      </c>
      <c r="Y178" s="11">
        <v>6.04077373574559</v>
      </c>
      <c r="Z178" s="5">
        <v>0.106350389233287</v>
      </c>
    </row>
    <row r="179" spans="2:26">
      <c r="B179" s="2">
        <v>50</v>
      </c>
      <c r="C179" s="2">
        <v>7.2</v>
      </c>
      <c r="D179" s="2">
        <v>4.5</v>
      </c>
      <c r="E179" s="2">
        <v>0</v>
      </c>
      <c r="F179" s="2">
        <v>1</v>
      </c>
      <c r="G179" s="2">
        <v>22.1</v>
      </c>
      <c r="H179" s="5">
        <v>0.920818198615511</v>
      </c>
      <c r="I179" s="6">
        <v>39.3</v>
      </c>
      <c r="J179" s="2">
        <v>21.7</v>
      </c>
      <c r="K179" s="6">
        <v>71.1503576728905</v>
      </c>
      <c r="L179" s="10">
        <v>6.59990777131476</v>
      </c>
      <c r="M179" s="11">
        <v>0.0983981852340347</v>
      </c>
      <c r="O179" s="2">
        <v>50</v>
      </c>
      <c r="P179" s="2">
        <v>7.2</v>
      </c>
      <c r="Q179" s="2">
        <v>4.5</v>
      </c>
      <c r="R179" s="2">
        <v>0</v>
      </c>
      <c r="S179" s="2">
        <v>1</v>
      </c>
      <c r="T179" s="2">
        <v>22.1</v>
      </c>
      <c r="U179" s="19">
        <v>0.920818198615511</v>
      </c>
      <c r="V179" s="6">
        <v>39.3</v>
      </c>
      <c r="W179" s="2">
        <v>21.7</v>
      </c>
      <c r="X179" s="10">
        <v>71.1503576728905</v>
      </c>
      <c r="Y179" s="11">
        <v>6.59990777131476</v>
      </c>
      <c r="Z179" s="5">
        <v>0.0983981852340347</v>
      </c>
    </row>
    <row r="180" spans="2:26">
      <c r="B180" s="2">
        <v>52.5</v>
      </c>
      <c r="C180" s="2">
        <v>7.2</v>
      </c>
      <c r="D180" s="2">
        <v>4.5</v>
      </c>
      <c r="E180" s="2">
        <v>0</v>
      </c>
      <c r="F180" s="2">
        <v>1</v>
      </c>
      <c r="G180" s="2">
        <v>22.2</v>
      </c>
      <c r="H180" s="5">
        <v>0.909893599259399</v>
      </c>
      <c r="I180" s="6">
        <v>40.6</v>
      </c>
      <c r="J180" s="2">
        <v>23.2</v>
      </c>
      <c r="K180" s="6">
        <v>82.9835741627716</v>
      </c>
      <c r="L180" s="10">
        <v>6.9930616360197</v>
      </c>
      <c r="M180" s="11">
        <v>0.0909989497484409</v>
      </c>
      <c r="O180" s="2">
        <v>52.5</v>
      </c>
      <c r="P180" s="2">
        <v>7.2</v>
      </c>
      <c r="Q180" s="2">
        <v>4.5</v>
      </c>
      <c r="R180" s="2">
        <v>0</v>
      </c>
      <c r="S180" s="2">
        <v>1</v>
      </c>
      <c r="T180" s="2">
        <v>22.2</v>
      </c>
      <c r="U180" s="19">
        <v>0.909893599259399</v>
      </c>
      <c r="V180" s="6">
        <v>40.6</v>
      </c>
      <c r="W180" s="2">
        <v>23.2</v>
      </c>
      <c r="X180" s="10">
        <v>82.9835741627716</v>
      </c>
      <c r="Y180" s="11">
        <v>6.9930616360197</v>
      </c>
      <c r="Z180" s="5">
        <v>0.0909989497484409</v>
      </c>
    </row>
    <row r="181" spans="2:26">
      <c r="B181" s="2">
        <v>55</v>
      </c>
      <c r="C181" s="2">
        <v>7.2</v>
      </c>
      <c r="D181" s="2">
        <v>4.5</v>
      </c>
      <c r="E181" s="2">
        <v>0</v>
      </c>
      <c r="F181" s="2">
        <v>1</v>
      </c>
      <c r="G181" s="2">
        <v>22.2</v>
      </c>
      <c r="H181" s="5">
        <v>0.89760467536325</v>
      </c>
      <c r="I181" s="6">
        <v>42.5</v>
      </c>
      <c r="J181" s="2">
        <v>24.9</v>
      </c>
      <c r="K181" s="6">
        <v>93.6281680435471</v>
      </c>
      <c r="L181" s="10">
        <v>7.12599552156495</v>
      </c>
      <c r="M181" s="11">
        <v>0.0848533645923056</v>
      </c>
      <c r="O181" s="2">
        <v>55</v>
      </c>
      <c r="P181" s="2">
        <v>7.2</v>
      </c>
      <c r="Q181" s="2">
        <v>4.5</v>
      </c>
      <c r="R181" s="2">
        <v>0</v>
      </c>
      <c r="S181" s="2">
        <v>1</v>
      </c>
      <c r="T181" s="2">
        <v>22.2</v>
      </c>
      <c r="U181" s="19">
        <v>0.89760467536325</v>
      </c>
      <c r="V181" s="6">
        <v>42.5</v>
      </c>
      <c r="W181" s="2">
        <v>24.9</v>
      </c>
      <c r="X181" s="10">
        <v>93.6281680435471</v>
      </c>
      <c r="Y181" s="11">
        <v>7.12599552156495</v>
      </c>
      <c r="Z181" s="5">
        <v>0.0848533645923056</v>
      </c>
    </row>
    <row r="182" spans="2:26">
      <c r="B182" s="2">
        <v>57.5</v>
      </c>
      <c r="C182" s="2">
        <v>7.2</v>
      </c>
      <c r="D182" s="2">
        <v>4.5</v>
      </c>
      <c r="E182" s="2">
        <v>0</v>
      </c>
      <c r="F182" s="2">
        <v>1</v>
      </c>
      <c r="G182" s="2">
        <v>22.2</v>
      </c>
      <c r="H182" s="5">
        <v>0.883786850160418</v>
      </c>
      <c r="I182" s="6">
        <v>44.6</v>
      </c>
      <c r="J182" s="2">
        <v>26.6</v>
      </c>
      <c r="K182" s="6">
        <v>104.599214219014</v>
      </c>
      <c r="L182" s="10">
        <v>7.22068939196218</v>
      </c>
      <c r="M182" s="11">
        <v>0.0791475580848631</v>
      </c>
      <c r="O182" s="2">
        <v>57.5</v>
      </c>
      <c r="P182" s="2">
        <v>7.2</v>
      </c>
      <c r="Q182" s="2">
        <v>4.5</v>
      </c>
      <c r="R182" s="2">
        <v>0</v>
      </c>
      <c r="S182" s="2">
        <v>1</v>
      </c>
      <c r="T182" s="2">
        <v>22.2</v>
      </c>
      <c r="U182" s="19">
        <v>0.883786850160418</v>
      </c>
      <c r="V182" s="6">
        <v>44.6</v>
      </c>
      <c r="W182" s="2">
        <v>26.6</v>
      </c>
      <c r="X182" s="10">
        <v>104.599214219014</v>
      </c>
      <c r="Y182" s="11">
        <v>7.22068939196218</v>
      </c>
      <c r="Z182" s="5">
        <v>0.0791475580848631</v>
      </c>
    </row>
    <row r="183" spans="2:26">
      <c r="B183" s="2">
        <v>60</v>
      </c>
      <c r="C183" s="2">
        <v>7.2</v>
      </c>
      <c r="D183" s="2">
        <v>4.5</v>
      </c>
      <c r="E183" s="2">
        <v>0</v>
      </c>
      <c r="F183" s="2">
        <v>1</v>
      </c>
      <c r="G183" s="2">
        <v>22.2</v>
      </c>
      <c r="H183" s="5">
        <v>0.868253123396246</v>
      </c>
      <c r="I183" s="6">
        <v>47.2</v>
      </c>
      <c r="J183" s="2">
        <v>28.5</v>
      </c>
      <c r="K183" s="6">
        <v>114.258624823129</v>
      </c>
      <c r="L183" s="10">
        <v>7.19655710368723</v>
      </c>
      <c r="M183" s="11">
        <v>0.0742266208838842</v>
      </c>
      <c r="O183" s="2">
        <v>60</v>
      </c>
      <c r="P183" s="2">
        <v>7.2</v>
      </c>
      <c r="Q183" s="2">
        <v>4.5</v>
      </c>
      <c r="R183" s="2">
        <v>0</v>
      </c>
      <c r="S183" s="2">
        <v>1</v>
      </c>
      <c r="T183" s="2">
        <v>22.2</v>
      </c>
      <c r="U183" s="19">
        <v>0.868253123396246</v>
      </c>
      <c r="V183" s="6">
        <v>47.2</v>
      </c>
      <c r="W183" s="2">
        <v>28.5</v>
      </c>
      <c r="X183" s="10">
        <v>114.258624823129</v>
      </c>
      <c r="Y183" s="11">
        <v>7.19655710368723</v>
      </c>
      <c r="Z183" s="5">
        <v>0.0742266208838842</v>
      </c>
    </row>
    <row r="184" spans="2:26">
      <c r="B184" s="2">
        <v>62.5</v>
      </c>
      <c r="C184" s="2">
        <v>7.2</v>
      </c>
      <c r="D184" s="2">
        <v>4.5</v>
      </c>
      <c r="E184" s="2">
        <v>0</v>
      </c>
      <c r="F184" s="2">
        <v>1</v>
      </c>
      <c r="G184" s="2">
        <v>22.2</v>
      </c>
      <c r="H184" s="5">
        <v>0.850790029374404</v>
      </c>
      <c r="I184" s="6">
        <v>50.3</v>
      </c>
      <c r="J184" s="2">
        <v>30.5</v>
      </c>
      <c r="K184" s="6">
        <v>121.961164483263</v>
      </c>
      <c r="L184" s="10">
        <v>7.02034581557563</v>
      </c>
      <c r="M184" s="11">
        <v>0.0700103139570932</v>
      </c>
      <c r="O184" s="2">
        <v>62.5</v>
      </c>
      <c r="P184" s="2">
        <v>7.2</v>
      </c>
      <c r="Q184" s="2">
        <v>4.5</v>
      </c>
      <c r="R184" s="2">
        <v>0</v>
      </c>
      <c r="S184" s="2">
        <v>1</v>
      </c>
      <c r="T184" s="2">
        <v>22.2</v>
      </c>
      <c r="U184" s="19">
        <v>0.850790029374404</v>
      </c>
      <c r="V184" s="6">
        <v>50.3</v>
      </c>
      <c r="W184" s="2">
        <v>30.5</v>
      </c>
      <c r="X184" s="10">
        <v>121.961164483263</v>
      </c>
      <c r="Y184" s="11">
        <v>7.02034581557563</v>
      </c>
      <c r="Z184" s="5">
        <v>0.0700103139570932</v>
      </c>
    </row>
    <row r="185" spans="2:26">
      <c r="B185" s="2">
        <v>65</v>
      </c>
      <c r="C185" s="2">
        <v>7.2</v>
      </c>
      <c r="D185" s="2">
        <v>4.5</v>
      </c>
      <c r="E185" s="2">
        <v>0</v>
      </c>
      <c r="F185" s="2">
        <v>1</v>
      </c>
      <c r="G185" s="2">
        <v>22.1</v>
      </c>
      <c r="H185" s="5">
        <v>0.831152647810126</v>
      </c>
      <c r="I185" s="6">
        <v>53.6</v>
      </c>
      <c r="J185" s="2">
        <v>33</v>
      </c>
      <c r="K185" s="6">
        <v>129.060052943962</v>
      </c>
      <c r="L185" s="10">
        <v>6.91578324947234</v>
      </c>
      <c r="M185" s="11">
        <v>0.0673632670256045</v>
      </c>
      <c r="O185" s="2">
        <v>65</v>
      </c>
      <c r="P185" s="2">
        <v>7.2</v>
      </c>
      <c r="Q185" s="2">
        <v>4.5</v>
      </c>
      <c r="R185" s="2">
        <v>0</v>
      </c>
      <c r="S185" s="2">
        <v>1</v>
      </c>
      <c r="T185" s="2">
        <v>22.1</v>
      </c>
      <c r="U185" s="19">
        <v>0.831152647810126</v>
      </c>
      <c r="V185" s="6">
        <v>53.6</v>
      </c>
      <c r="W185" s="2">
        <v>33</v>
      </c>
      <c r="X185" s="10">
        <v>129.060052943962</v>
      </c>
      <c r="Y185" s="11">
        <v>6.91578324947234</v>
      </c>
      <c r="Z185" s="5">
        <v>0.0673632670256045</v>
      </c>
    </row>
    <row r="186" spans="2:26">
      <c r="B186" s="2">
        <v>67.5</v>
      </c>
      <c r="C186" s="2">
        <v>7.2</v>
      </c>
      <c r="D186" s="2">
        <v>4.5</v>
      </c>
      <c r="E186" s="2">
        <v>0</v>
      </c>
      <c r="F186" s="2">
        <v>1</v>
      </c>
      <c r="G186" s="2">
        <v>22.1</v>
      </c>
      <c r="H186" s="5">
        <v>0.809058400419842</v>
      </c>
      <c r="I186" s="6">
        <v>56.4</v>
      </c>
      <c r="J186" s="2">
        <v>35.1</v>
      </c>
      <c r="K186" s="6">
        <v>140.325432451574</v>
      </c>
      <c r="L186" s="10">
        <v>7.03382083187963</v>
      </c>
      <c r="M186" s="11">
        <v>0.0646450896066444</v>
      </c>
      <c r="O186" s="2">
        <v>67.5</v>
      </c>
      <c r="P186" s="2">
        <v>7.2</v>
      </c>
      <c r="Q186" s="2">
        <v>4.5</v>
      </c>
      <c r="R186" s="2">
        <v>0</v>
      </c>
      <c r="S186" s="2">
        <v>1</v>
      </c>
      <c r="T186" s="2">
        <v>22.1</v>
      </c>
      <c r="U186" s="19">
        <v>0.809058400419842</v>
      </c>
      <c r="V186" s="6">
        <v>56.4</v>
      </c>
      <c r="W186" s="2">
        <v>35.1</v>
      </c>
      <c r="X186" s="10">
        <v>140.325432451574</v>
      </c>
      <c r="Y186" s="11">
        <v>7.03382083187963</v>
      </c>
      <c r="Z186" s="5">
        <v>0.0646450896066444</v>
      </c>
    </row>
    <row r="187" spans="2:26">
      <c r="B187" s="2">
        <v>70</v>
      </c>
      <c r="C187" s="2">
        <v>7.2</v>
      </c>
      <c r="D187" s="2">
        <v>4.5</v>
      </c>
      <c r="E187" s="2">
        <v>0</v>
      </c>
      <c r="F187" s="2">
        <v>1</v>
      </c>
      <c r="G187" s="2">
        <v>22.1</v>
      </c>
      <c r="H187" s="5">
        <v>0.784179277129304</v>
      </c>
      <c r="I187" s="6">
        <v>58.6</v>
      </c>
      <c r="J187" s="2">
        <v>37.3</v>
      </c>
      <c r="K187" s="6">
        <v>158.321200468646</v>
      </c>
      <c r="L187" s="10">
        <v>7.55820679415947</v>
      </c>
      <c r="M187" s="11">
        <v>0.062934809976867</v>
      </c>
      <c r="O187" s="2">
        <v>70</v>
      </c>
      <c r="P187" s="2">
        <v>7.2</v>
      </c>
      <c r="Q187" s="2">
        <v>4.5</v>
      </c>
      <c r="R187" s="2">
        <v>0</v>
      </c>
      <c r="S187" s="2">
        <v>1</v>
      </c>
      <c r="T187" s="2">
        <v>22.1</v>
      </c>
      <c r="U187" s="19">
        <v>0.784179277129304</v>
      </c>
      <c r="V187" s="6">
        <v>58.6</v>
      </c>
      <c r="W187" s="2">
        <v>37.3</v>
      </c>
      <c r="X187" s="10">
        <v>158.321200468646</v>
      </c>
      <c r="Y187" s="11">
        <v>7.55820679415947</v>
      </c>
      <c r="Z187" s="5">
        <v>0.062934809976867</v>
      </c>
    </row>
    <row r="188" spans="2:26">
      <c r="B188" s="2">
        <v>45</v>
      </c>
      <c r="C188" s="2">
        <v>6.4</v>
      </c>
      <c r="D188" s="2">
        <v>4.5</v>
      </c>
      <c r="E188" s="2">
        <v>0</v>
      </c>
      <c r="F188" s="2">
        <v>1</v>
      </c>
      <c r="G188" s="2">
        <v>22</v>
      </c>
      <c r="H188" s="5">
        <v>0.93913980595102</v>
      </c>
      <c r="I188" s="6">
        <v>36.3</v>
      </c>
      <c r="J188" s="2">
        <v>18.4</v>
      </c>
      <c r="K188" s="6">
        <v>48.1649392768033</v>
      </c>
      <c r="L188" s="10">
        <v>5.63183813217785</v>
      </c>
      <c r="M188" s="11">
        <v>0.127277652759189</v>
      </c>
      <c r="O188" s="2">
        <v>45</v>
      </c>
      <c r="P188" s="2">
        <v>6.4</v>
      </c>
      <c r="Q188" s="2">
        <v>4.5</v>
      </c>
      <c r="R188" s="2">
        <v>0</v>
      </c>
      <c r="S188" s="2">
        <v>1</v>
      </c>
      <c r="T188" s="2">
        <v>22</v>
      </c>
      <c r="U188" s="19">
        <v>0.93913980595102</v>
      </c>
      <c r="V188" s="6">
        <v>36.3</v>
      </c>
      <c r="W188" s="2">
        <v>18.4</v>
      </c>
      <c r="X188" s="10">
        <v>48.1649392768033</v>
      </c>
      <c r="Y188" s="11">
        <v>5.63183813217785</v>
      </c>
      <c r="Z188" s="5">
        <v>0.127277652759189</v>
      </c>
    </row>
    <row r="189" spans="2:26">
      <c r="B189" s="2">
        <v>47.5</v>
      </c>
      <c r="C189" s="2">
        <v>6.4</v>
      </c>
      <c r="D189" s="2">
        <v>4.5</v>
      </c>
      <c r="E189" s="2">
        <v>0</v>
      </c>
      <c r="F189" s="2">
        <v>1</v>
      </c>
      <c r="G189" s="2">
        <v>22</v>
      </c>
      <c r="H189" s="5">
        <v>0.930523923822277</v>
      </c>
      <c r="I189" s="6">
        <v>37.4</v>
      </c>
      <c r="J189" s="2">
        <v>18.9</v>
      </c>
      <c r="K189" s="6">
        <v>57.0687923550578</v>
      </c>
      <c r="L189" s="10">
        <v>5.49480291560478</v>
      </c>
      <c r="M189" s="11">
        <v>0.115979412870124</v>
      </c>
      <c r="O189" s="2">
        <v>47.5</v>
      </c>
      <c r="P189" s="2">
        <v>6.4</v>
      </c>
      <c r="Q189" s="2">
        <v>4.5</v>
      </c>
      <c r="R189" s="2">
        <v>0</v>
      </c>
      <c r="S189" s="2">
        <v>1</v>
      </c>
      <c r="T189" s="2">
        <v>22</v>
      </c>
      <c r="U189" s="19">
        <v>0.930523923822277</v>
      </c>
      <c r="V189" s="6">
        <v>37.4</v>
      </c>
      <c r="W189" s="2">
        <v>18.9</v>
      </c>
      <c r="X189" s="10">
        <v>57.0687923550578</v>
      </c>
      <c r="Y189" s="11">
        <v>5.49480291560478</v>
      </c>
      <c r="Z189" s="5">
        <v>0.115979412870124</v>
      </c>
    </row>
    <row r="190" spans="2:26">
      <c r="B190" s="2">
        <v>50</v>
      </c>
      <c r="C190" s="2">
        <v>6.4</v>
      </c>
      <c r="D190" s="2">
        <v>4.5</v>
      </c>
      <c r="E190" s="2">
        <v>0</v>
      </c>
      <c r="F190" s="2">
        <v>1</v>
      </c>
      <c r="G190" s="2">
        <v>22.1</v>
      </c>
      <c r="H190" s="5">
        <v>0.920818198615511</v>
      </c>
      <c r="I190" s="6">
        <v>38.8</v>
      </c>
      <c r="J190" s="2">
        <v>20.7</v>
      </c>
      <c r="K190" s="6">
        <v>66.3184986107888</v>
      </c>
      <c r="L190" s="10">
        <v>5.87321994379078</v>
      </c>
      <c r="M190" s="11">
        <v>0.108396926808336</v>
      </c>
      <c r="O190" s="2">
        <v>50</v>
      </c>
      <c r="P190" s="2">
        <v>6.4</v>
      </c>
      <c r="Q190" s="2">
        <v>4.5</v>
      </c>
      <c r="R190" s="2">
        <v>0</v>
      </c>
      <c r="S190" s="2">
        <v>1</v>
      </c>
      <c r="T190" s="2">
        <v>22.1</v>
      </c>
      <c r="U190" s="19">
        <v>0.920818198615511</v>
      </c>
      <c r="V190" s="6">
        <v>38.8</v>
      </c>
      <c r="W190" s="2">
        <v>20.7</v>
      </c>
      <c r="X190" s="10">
        <v>66.3184986107888</v>
      </c>
      <c r="Y190" s="11">
        <v>5.87321994379078</v>
      </c>
      <c r="Z190" s="5">
        <v>0.108396926808336</v>
      </c>
    </row>
    <row r="191" spans="2:26">
      <c r="B191" s="2">
        <v>52.5</v>
      </c>
      <c r="C191" s="2">
        <v>6.4</v>
      </c>
      <c r="D191" s="2">
        <v>4.5</v>
      </c>
      <c r="E191" s="2">
        <v>0</v>
      </c>
      <c r="F191" s="2">
        <v>1</v>
      </c>
      <c r="G191" s="2">
        <v>22.2</v>
      </c>
      <c r="H191" s="5">
        <v>0.909893599259399</v>
      </c>
      <c r="I191" s="6">
        <v>39.8</v>
      </c>
      <c r="J191" s="2">
        <v>22.3</v>
      </c>
      <c r="K191" s="6">
        <v>78.1183718040624</v>
      </c>
      <c r="L191" s="10">
        <v>6.41593804464434</v>
      </c>
      <c r="M191" s="11">
        <v>0.100551935933232</v>
      </c>
      <c r="O191" s="2">
        <v>52.5</v>
      </c>
      <c r="P191" s="2">
        <v>6.4</v>
      </c>
      <c r="Q191" s="2">
        <v>4.5</v>
      </c>
      <c r="R191" s="2">
        <v>0</v>
      </c>
      <c r="S191" s="2">
        <v>1</v>
      </c>
      <c r="T191" s="2">
        <v>22.2</v>
      </c>
      <c r="U191" s="19">
        <v>0.909893599259399</v>
      </c>
      <c r="V191" s="6">
        <v>39.8</v>
      </c>
      <c r="W191" s="2">
        <v>22.3</v>
      </c>
      <c r="X191" s="10">
        <v>78.1183718040624</v>
      </c>
      <c r="Y191" s="11">
        <v>6.41593804464434</v>
      </c>
      <c r="Z191" s="5">
        <v>0.100551935933232</v>
      </c>
    </row>
    <row r="192" spans="2:26">
      <c r="B192" s="2">
        <v>55</v>
      </c>
      <c r="C192" s="2">
        <v>6.4</v>
      </c>
      <c r="D192" s="2">
        <v>4.5</v>
      </c>
      <c r="E192" s="2">
        <v>0</v>
      </c>
      <c r="F192" s="2">
        <v>1</v>
      </c>
      <c r="G192" s="2">
        <v>22.1</v>
      </c>
      <c r="H192" s="5">
        <v>0.89760467536325</v>
      </c>
      <c r="I192" s="6">
        <v>41.9</v>
      </c>
      <c r="J192" s="2">
        <v>24.5</v>
      </c>
      <c r="K192" s="6">
        <v>87.2326010685248</v>
      </c>
      <c r="L192" s="10">
        <v>6.56119421150804</v>
      </c>
      <c r="M192" s="11">
        <v>0.095129773428688</v>
      </c>
      <c r="O192" s="2">
        <v>55</v>
      </c>
      <c r="P192" s="2">
        <v>6.4</v>
      </c>
      <c r="Q192" s="2">
        <v>4.5</v>
      </c>
      <c r="R192" s="2">
        <v>0</v>
      </c>
      <c r="S192" s="2">
        <v>1</v>
      </c>
      <c r="T192" s="2">
        <v>22.1</v>
      </c>
      <c r="U192" s="19">
        <v>0.89760467536325</v>
      </c>
      <c r="V192" s="6">
        <v>41.9</v>
      </c>
      <c r="W192" s="2">
        <v>24.5</v>
      </c>
      <c r="X192" s="10">
        <v>87.2326010685248</v>
      </c>
      <c r="Y192" s="11">
        <v>6.56119421150804</v>
      </c>
      <c r="Z192" s="5">
        <v>0.095129773428688</v>
      </c>
    </row>
    <row r="193" spans="2:26">
      <c r="B193" s="2">
        <v>57.5</v>
      </c>
      <c r="C193" s="2">
        <v>6.4</v>
      </c>
      <c r="D193" s="2">
        <v>4.5</v>
      </c>
      <c r="E193" s="2">
        <v>0</v>
      </c>
      <c r="F193" s="2">
        <v>1</v>
      </c>
      <c r="G193" s="2">
        <v>22.1</v>
      </c>
      <c r="H193" s="5">
        <v>0.883786850160418</v>
      </c>
      <c r="I193" s="6">
        <v>44.5</v>
      </c>
      <c r="J193" s="2">
        <v>26.4</v>
      </c>
      <c r="K193" s="6">
        <v>95.0805589197763</v>
      </c>
      <c r="L193" s="10">
        <v>6.46999349244492</v>
      </c>
      <c r="M193" s="11">
        <v>0.0891026938305591</v>
      </c>
      <c r="O193" s="2">
        <v>57.5</v>
      </c>
      <c r="P193" s="2">
        <v>6.4</v>
      </c>
      <c r="Q193" s="2">
        <v>4.5</v>
      </c>
      <c r="R193" s="2">
        <v>0</v>
      </c>
      <c r="S193" s="2">
        <v>1</v>
      </c>
      <c r="T193" s="2">
        <v>22.1</v>
      </c>
      <c r="U193" s="19">
        <v>0.883786850160418</v>
      </c>
      <c r="V193" s="6">
        <v>44.5</v>
      </c>
      <c r="W193" s="2">
        <v>26.4</v>
      </c>
      <c r="X193" s="10">
        <v>95.0805589197763</v>
      </c>
      <c r="Y193" s="11">
        <v>6.46999349244492</v>
      </c>
      <c r="Z193" s="5">
        <v>0.0891026938305591</v>
      </c>
    </row>
    <row r="194" spans="2:26">
      <c r="B194" s="2">
        <v>60</v>
      </c>
      <c r="C194" s="2">
        <v>6.4</v>
      </c>
      <c r="D194" s="2">
        <v>4.5</v>
      </c>
      <c r="E194" s="2">
        <v>0</v>
      </c>
      <c r="F194" s="2">
        <v>1</v>
      </c>
      <c r="G194" s="2">
        <v>22.1</v>
      </c>
      <c r="H194" s="5">
        <v>0.868253123396246</v>
      </c>
      <c r="I194" s="6">
        <v>46.3</v>
      </c>
      <c r="J194" s="2">
        <v>28.4</v>
      </c>
      <c r="K194" s="6">
        <v>107.622028474116</v>
      </c>
      <c r="L194" s="10">
        <v>6.84579209262805</v>
      </c>
      <c r="M194" s="11">
        <v>0.0835758670654524</v>
      </c>
      <c r="O194" s="2">
        <v>60</v>
      </c>
      <c r="P194" s="2">
        <v>6.4</v>
      </c>
      <c r="Q194" s="2">
        <v>4.5</v>
      </c>
      <c r="R194" s="2">
        <v>0</v>
      </c>
      <c r="S194" s="2">
        <v>1</v>
      </c>
      <c r="T194" s="2">
        <v>22.1</v>
      </c>
      <c r="U194" s="19">
        <v>0.868253123396246</v>
      </c>
      <c r="V194" s="6">
        <v>46.3</v>
      </c>
      <c r="W194" s="2">
        <v>28.4</v>
      </c>
      <c r="X194" s="10">
        <v>107.622028474116</v>
      </c>
      <c r="Y194" s="11">
        <v>6.84579209262805</v>
      </c>
      <c r="Z194" s="5">
        <v>0.0835758670654524</v>
      </c>
    </row>
    <row r="195" spans="2:26">
      <c r="B195" s="2">
        <v>62.5</v>
      </c>
      <c r="C195" s="2">
        <v>6.4</v>
      </c>
      <c r="D195" s="2">
        <v>4.5</v>
      </c>
      <c r="E195" s="2">
        <v>0</v>
      </c>
      <c r="F195" s="2">
        <v>1</v>
      </c>
      <c r="G195" s="2">
        <v>22.1</v>
      </c>
      <c r="H195" s="5">
        <v>0.850790029374404</v>
      </c>
      <c r="I195" s="6">
        <v>48.5</v>
      </c>
      <c r="J195" s="2">
        <v>30.5</v>
      </c>
      <c r="K195" s="6">
        <v>119.780423128766</v>
      </c>
      <c r="L195" s="10">
        <v>7.12025108744338</v>
      </c>
      <c r="M195" s="11">
        <v>0.0788271763133837</v>
      </c>
      <c r="O195" s="2">
        <v>62.5</v>
      </c>
      <c r="P195" s="2">
        <v>6.4</v>
      </c>
      <c r="Q195" s="2">
        <v>4.5</v>
      </c>
      <c r="R195" s="2">
        <v>0</v>
      </c>
      <c r="S195" s="2">
        <v>1</v>
      </c>
      <c r="T195" s="2">
        <v>22.1</v>
      </c>
      <c r="U195" s="19">
        <v>0.850790029374404</v>
      </c>
      <c r="V195" s="6">
        <v>48.5</v>
      </c>
      <c r="W195" s="2">
        <v>30.5</v>
      </c>
      <c r="X195" s="10">
        <v>119.780423128766</v>
      </c>
      <c r="Y195" s="11">
        <v>7.12025108744338</v>
      </c>
      <c r="Z195" s="5">
        <v>0.0788271763133837</v>
      </c>
    </row>
    <row r="196" spans="2:26">
      <c r="B196" s="2">
        <v>65</v>
      </c>
      <c r="C196" s="2">
        <v>6.4</v>
      </c>
      <c r="D196" s="2">
        <v>4.5</v>
      </c>
      <c r="E196" s="2">
        <v>0</v>
      </c>
      <c r="F196" s="2">
        <v>1</v>
      </c>
      <c r="G196" s="2">
        <v>22.1</v>
      </c>
      <c r="H196" s="5">
        <v>0.831152647810126</v>
      </c>
      <c r="I196" s="6">
        <v>51</v>
      </c>
      <c r="J196" s="2">
        <v>32.5</v>
      </c>
      <c r="K196" s="6">
        <v>131.822221301801</v>
      </c>
      <c r="L196" s="10">
        <v>7.28254205146509</v>
      </c>
      <c r="M196" s="11">
        <v>0.0746631430664964</v>
      </c>
      <c r="O196" s="2">
        <v>65</v>
      </c>
      <c r="P196" s="2">
        <v>6.4</v>
      </c>
      <c r="Q196" s="2">
        <v>4.5</v>
      </c>
      <c r="R196" s="2">
        <v>0</v>
      </c>
      <c r="S196" s="2">
        <v>1</v>
      </c>
      <c r="T196" s="2">
        <v>22.1</v>
      </c>
      <c r="U196" s="19">
        <v>0.831152647810126</v>
      </c>
      <c r="V196" s="6">
        <v>51</v>
      </c>
      <c r="W196" s="2">
        <v>32.5</v>
      </c>
      <c r="X196" s="10">
        <v>131.822221301801</v>
      </c>
      <c r="Y196" s="11">
        <v>7.28254205146509</v>
      </c>
      <c r="Z196" s="5">
        <v>0.0746631430664964</v>
      </c>
    </row>
    <row r="197" spans="2:26">
      <c r="B197" s="2">
        <v>67.5</v>
      </c>
      <c r="C197" s="2">
        <v>6.4</v>
      </c>
      <c r="D197" s="2">
        <v>4.5</v>
      </c>
      <c r="E197" s="2">
        <v>0</v>
      </c>
      <c r="F197" s="2">
        <v>1</v>
      </c>
      <c r="G197" s="2">
        <v>22.1</v>
      </c>
      <c r="H197" s="5">
        <v>0.809058400419842</v>
      </c>
      <c r="I197" s="6">
        <v>54.6</v>
      </c>
      <c r="J197" s="2">
        <v>34.9</v>
      </c>
      <c r="K197" s="6">
        <v>138.718445067583</v>
      </c>
      <c r="L197" s="10">
        <v>7.1242314843398</v>
      </c>
      <c r="M197" s="11">
        <v>0.072143883527434</v>
      </c>
      <c r="O197" s="2">
        <v>67.5</v>
      </c>
      <c r="P197" s="2">
        <v>6.4</v>
      </c>
      <c r="Q197" s="2">
        <v>4.5</v>
      </c>
      <c r="R197" s="2">
        <v>0</v>
      </c>
      <c r="S197" s="2">
        <v>1</v>
      </c>
      <c r="T197" s="2">
        <v>22.1</v>
      </c>
      <c r="U197" s="19">
        <v>0.809058400419842</v>
      </c>
      <c r="V197" s="6">
        <v>54.6</v>
      </c>
      <c r="W197" s="2">
        <v>34.9</v>
      </c>
      <c r="X197" s="10">
        <v>138.718445067583</v>
      </c>
      <c r="Y197" s="11">
        <v>7.1242314843398</v>
      </c>
      <c r="Z197" s="5">
        <v>0.072143883527434</v>
      </c>
    </row>
    <row r="198" spans="2:26">
      <c r="B198" s="2">
        <v>70</v>
      </c>
      <c r="C198" s="2">
        <v>6.4</v>
      </c>
      <c r="D198" s="2">
        <v>4.5</v>
      </c>
      <c r="E198" s="2">
        <v>0</v>
      </c>
      <c r="F198" s="2">
        <v>1</v>
      </c>
      <c r="G198" s="2">
        <v>22.1</v>
      </c>
      <c r="H198" s="5">
        <v>0.784179277129304</v>
      </c>
      <c r="I198" s="6">
        <v>56.9</v>
      </c>
      <c r="J198" s="2">
        <v>36.8</v>
      </c>
      <c r="K198" s="6">
        <v>154.891680383873</v>
      </c>
      <c r="L198" s="10">
        <v>7.46795060502404</v>
      </c>
      <c r="M198" s="11">
        <v>0.0694918309946874</v>
      </c>
      <c r="O198" s="2">
        <v>70</v>
      </c>
      <c r="P198" s="2">
        <v>6.4</v>
      </c>
      <c r="Q198" s="2">
        <v>4.5</v>
      </c>
      <c r="R198" s="2">
        <v>0</v>
      </c>
      <c r="S198" s="2">
        <v>1</v>
      </c>
      <c r="T198" s="2">
        <v>22.1</v>
      </c>
      <c r="U198" s="19">
        <v>0.784179277129304</v>
      </c>
      <c r="V198" s="6">
        <v>56.9</v>
      </c>
      <c r="W198" s="2">
        <v>36.8</v>
      </c>
      <c r="X198" s="10">
        <v>154.891680383873</v>
      </c>
      <c r="Y198" s="11">
        <v>7.46795060502404</v>
      </c>
      <c r="Z198" s="5">
        <v>0.0694918309946874</v>
      </c>
    </row>
    <row r="199" spans="2:26">
      <c r="B199" s="2">
        <v>45</v>
      </c>
      <c r="C199" s="2">
        <v>5.8</v>
      </c>
      <c r="D199" s="2">
        <v>4.5</v>
      </c>
      <c r="E199" s="2">
        <v>0</v>
      </c>
      <c r="F199" s="2">
        <v>1</v>
      </c>
      <c r="G199" s="2">
        <v>21.9</v>
      </c>
      <c r="H199" s="5">
        <v>0.93913980595102</v>
      </c>
      <c r="I199" s="6">
        <v>33</v>
      </c>
      <c r="J199" s="2">
        <v>13.8</v>
      </c>
      <c r="K199" s="6">
        <v>52.5720097828649</v>
      </c>
      <c r="L199" s="10">
        <v>5.16755717790459</v>
      </c>
      <c r="M199" s="11">
        <v>0.122480361371544</v>
      </c>
      <c r="O199" s="2">
        <v>45</v>
      </c>
      <c r="P199" s="2">
        <v>5.8</v>
      </c>
      <c r="Q199" s="2">
        <v>4.5</v>
      </c>
      <c r="R199" s="2">
        <v>0</v>
      </c>
      <c r="S199" s="2">
        <v>1</v>
      </c>
      <c r="T199" s="2">
        <v>21.9</v>
      </c>
      <c r="U199" s="19">
        <v>0.93913980595102</v>
      </c>
      <c r="V199" s="6">
        <v>33</v>
      </c>
      <c r="W199" s="2">
        <v>13.8</v>
      </c>
      <c r="X199" s="10">
        <v>52.5720097828649</v>
      </c>
      <c r="Y199" s="11">
        <v>5.16755717790459</v>
      </c>
      <c r="Z199" s="5">
        <v>0.122480361371544</v>
      </c>
    </row>
    <row r="200" spans="2:26">
      <c r="B200" s="2">
        <v>47.5</v>
      </c>
      <c r="C200" s="2">
        <v>5.8</v>
      </c>
      <c r="D200" s="2">
        <v>4.5</v>
      </c>
      <c r="E200" s="2">
        <v>0</v>
      </c>
      <c r="F200" s="2">
        <v>1</v>
      </c>
      <c r="G200" s="2">
        <v>21.9</v>
      </c>
      <c r="H200" s="5">
        <v>0.930523923822277</v>
      </c>
      <c r="I200" s="6">
        <v>34.2</v>
      </c>
      <c r="J200" s="2">
        <v>15.3</v>
      </c>
      <c r="K200" s="6">
        <v>61.1328645018049</v>
      </c>
      <c r="L200" s="10">
        <v>5.42417745732886</v>
      </c>
      <c r="M200" s="11">
        <v>0.115940336736929</v>
      </c>
      <c r="O200" s="2">
        <v>47.5</v>
      </c>
      <c r="P200" s="2">
        <v>5.8</v>
      </c>
      <c r="Q200" s="2">
        <v>4.5</v>
      </c>
      <c r="R200" s="2">
        <v>0</v>
      </c>
      <c r="S200" s="2">
        <v>1</v>
      </c>
      <c r="T200" s="2">
        <v>21.9</v>
      </c>
      <c r="U200" s="19">
        <v>0.930523923822277</v>
      </c>
      <c r="V200" s="6">
        <v>34.2</v>
      </c>
      <c r="W200" s="2">
        <v>15.3</v>
      </c>
      <c r="X200" s="10">
        <v>61.1328645018049</v>
      </c>
      <c r="Y200" s="11">
        <v>5.42417745732886</v>
      </c>
      <c r="Z200" s="5">
        <v>0.115940336736929</v>
      </c>
    </row>
    <row r="201" spans="2:26">
      <c r="B201" s="2">
        <v>50</v>
      </c>
      <c r="C201" s="2">
        <v>5.8</v>
      </c>
      <c r="D201" s="2">
        <v>4.5</v>
      </c>
      <c r="E201" s="2">
        <v>0</v>
      </c>
      <c r="F201" s="2">
        <v>1</v>
      </c>
      <c r="G201" s="2">
        <v>21.9</v>
      </c>
      <c r="H201" s="5">
        <v>0.920818198615511</v>
      </c>
      <c r="I201" s="6">
        <v>36.5</v>
      </c>
      <c r="J201" s="2">
        <v>17.6</v>
      </c>
      <c r="K201" s="6">
        <v>67.7158051323178</v>
      </c>
      <c r="L201" s="10">
        <v>5.44445431388536</v>
      </c>
      <c r="M201" s="11">
        <v>0.111849783330537</v>
      </c>
      <c r="O201" s="2">
        <v>50</v>
      </c>
      <c r="P201" s="2">
        <v>5.8</v>
      </c>
      <c r="Q201" s="2">
        <v>4.5</v>
      </c>
      <c r="R201" s="2">
        <v>0</v>
      </c>
      <c r="S201" s="2">
        <v>1</v>
      </c>
      <c r="T201" s="2">
        <v>21.9</v>
      </c>
      <c r="U201" s="19">
        <v>0.920818198615511</v>
      </c>
      <c r="V201" s="6">
        <v>36.5</v>
      </c>
      <c r="W201" s="2">
        <v>17.6</v>
      </c>
      <c r="X201" s="10">
        <v>67.7158051323178</v>
      </c>
      <c r="Y201" s="11">
        <v>5.44445431388536</v>
      </c>
      <c r="Z201" s="5">
        <v>0.111849783330537</v>
      </c>
    </row>
    <row r="202" spans="2:26">
      <c r="B202" s="2">
        <v>52.5</v>
      </c>
      <c r="C202" s="2">
        <v>5.8</v>
      </c>
      <c r="D202" s="2">
        <v>4.5</v>
      </c>
      <c r="E202" s="2">
        <v>0</v>
      </c>
      <c r="F202" s="2">
        <v>1</v>
      </c>
      <c r="G202" s="2">
        <v>22</v>
      </c>
      <c r="H202" s="5">
        <v>0.909893599259399</v>
      </c>
      <c r="I202" s="6">
        <v>38.6</v>
      </c>
      <c r="J202" s="2">
        <v>19.7</v>
      </c>
      <c r="K202" s="6">
        <v>75.4325296390204</v>
      </c>
      <c r="L202" s="10">
        <v>5.59054617166976</v>
      </c>
      <c r="M202" s="11">
        <v>0.105925886114828</v>
      </c>
      <c r="O202" s="2">
        <v>52.5</v>
      </c>
      <c r="P202" s="2">
        <v>5.8</v>
      </c>
      <c r="Q202" s="2">
        <v>4.5</v>
      </c>
      <c r="R202" s="2">
        <v>0</v>
      </c>
      <c r="S202" s="2">
        <v>1</v>
      </c>
      <c r="T202" s="2">
        <v>22</v>
      </c>
      <c r="U202" s="19">
        <v>0.909893599259399</v>
      </c>
      <c r="V202" s="6">
        <v>38.6</v>
      </c>
      <c r="W202" s="2">
        <v>19.7</v>
      </c>
      <c r="X202" s="10">
        <v>75.4325296390204</v>
      </c>
      <c r="Y202" s="11">
        <v>5.59054617166976</v>
      </c>
      <c r="Z202" s="5">
        <v>0.105925886114828</v>
      </c>
    </row>
    <row r="203" spans="2:26">
      <c r="B203" s="2">
        <v>55</v>
      </c>
      <c r="C203" s="2">
        <v>5.8</v>
      </c>
      <c r="D203" s="2">
        <v>4.5</v>
      </c>
      <c r="E203" s="2">
        <v>0</v>
      </c>
      <c r="F203" s="2">
        <v>1</v>
      </c>
      <c r="G203" s="2">
        <v>22</v>
      </c>
      <c r="H203" s="5">
        <v>0.89760467536325</v>
      </c>
      <c r="I203" s="6">
        <v>40.9</v>
      </c>
      <c r="J203" s="2">
        <v>21.4</v>
      </c>
      <c r="K203" s="6">
        <v>83.2255953205198</v>
      </c>
      <c r="L203" s="10">
        <v>5.56536195661449</v>
      </c>
      <c r="M203" s="11">
        <v>0.0994254587387655</v>
      </c>
      <c r="O203" s="2">
        <v>55</v>
      </c>
      <c r="P203" s="2">
        <v>5.8</v>
      </c>
      <c r="Q203" s="2">
        <v>4.5</v>
      </c>
      <c r="R203" s="2">
        <v>0</v>
      </c>
      <c r="S203" s="2">
        <v>1</v>
      </c>
      <c r="T203" s="2">
        <v>22</v>
      </c>
      <c r="U203" s="19">
        <v>0.89760467536325</v>
      </c>
      <c r="V203" s="6">
        <v>40.9</v>
      </c>
      <c r="W203" s="2">
        <v>21.4</v>
      </c>
      <c r="X203" s="10">
        <v>83.2255953205198</v>
      </c>
      <c r="Y203" s="11">
        <v>5.56536195661449</v>
      </c>
      <c r="Z203" s="5">
        <v>0.0994254587387655</v>
      </c>
    </row>
    <row r="204" spans="2:26">
      <c r="B204" s="2">
        <v>57.5</v>
      </c>
      <c r="C204" s="2">
        <v>5.8</v>
      </c>
      <c r="D204" s="2">
        <v>4.5</v>
      </c>
      <c r="E204" s="2">
        <v>0</v>
      </c>
      <c r="F204" s="2">
        <v>1</v>
      </c>
      <c r="G204" s="2">
        <v>21.9</v>
      </c>
      <c r="H204" s="5">
        <v>0.883786850160418</v>
      </c>
      <c r="I204" s="6">
        <v>44</v>
      </c>
      <c r="J204" s="2">
        <v>22.9</v>
      </c>
      <c r="K204" s="6">
        <v>88.7932920436928</v>
      </c>
      <c r="L204" s="10">
        <v>5.23290623117367</v>
      </c>
      <c r="M204" s="11">
        <v>0.0932847582559337</v>
      </c>
      <c r="O204" s="2">
        <v>57.5</v>
      </c>
      <c r="P204" s="2">
        <v>5.8</v>
      </c>
      <c r="Q204" s="2">
        <v>4.5</v>
      </c>
      <c r="R204" s="2">
        <v>0</v>
      </c>
      <c r="S204" s="2">
        <v>1</v>
      </c>
      <c r="T204" s="2">
        <v>21.9</v>
      </c>
      <c r="U204" s="19">
        <v>0.883786850160418</v>
      </c>
      <c r="V204" s="6">
        <v>44</v>
      </c>
      <c r="W204" s="2">
        <v>22.9</v>
      </c>
      <c r="X204" s="10">
        <v>88.7932920436928</v>
      </c>
      <c r="Y204" s="11">
        <v>5.23290623117367</v>
      </c>
      <c r="Z204" s="5">
        <v>0.0932847582559337</v>
      </c>
    </row>
    <row r="205" spans="2:26">
      <c r="B205" s="2">
        <v>60</v>
      </c>
      <c r="C205" s="2">
        <v>5.8</v>
      </c>
      <c r="D205" s="2">
        <v>4.5</v>
      </c>
      <c r="E205" s="2">
        <v>0</v>
      </c>
      <c r="F205" s="2">
        <v>1</v>
      </c>
      <c r="G205" s="2">
        <v>21.9</v>
      </c>
      <c r="H205" s="5">
        <v>0.868253123396246</v>
      </c>
      <c r="I205" s="6">
        <v>46.9</v>
      </c>
      <c r="J205" s="2">
        <v>24.6</v>
      </c>
      <c r="K205" s="6">
        <v>95.5500763257328</v>
      </c>
      <c r="L205" s="10">
        <v>5.11970718720038</v>
      </c>
      <c r="M205" s="11">
        <v>0.0873326517596539</v>
      </c>
      <c r="O205" s="2">
        <v>60</v>
      </c>
      <c r="P205" s="2">
        <v>5.8</v>
      </c>
      <c r="Q205" s="2">
        <v>4.5</v>
      </c>
      <c r="R205" s="2">
        <v>0</v>
      </c>
      <c r="S205" s="2">
        <v>1</v>
      </c>
      <c r="T205" s="2">
        <v>21.9</v>
      </c>
      <c r="U205" s="19">
        <v>0.868253123396246</v>
      </c>
      <c r="V205" s="6">
        <v>46.9</v>
      </c>
      <c r="W205" s="2">
        <v>24.6</v>
      </c>
      <c r="X205" s="10">
        <v>95.5500763257328</v>
      </c>
      <c r="Y205" s="11">
        <v>5.11970718720038</v>
      </c>
      <c r="Z205" s="5">
        <v>0.0873326517596539</v>
      </c>
    </row>
    <row r="206" spans="2:26">
      <c r="B206" s="2">
        <v>62.5</v>
      </c>
      <c r="C206" s="2">
        <v>5.8</v>
      </c>
      <c r="D206" s="2">
        <v>4.5</v>
      </c>
      <c r="E206" s="2">
        <v>0</v>
      </c>
      <c r="F206" s="2">
        <v>1</v>
      </c>
      <c r="G206" s="2">
        <v>21.8</v>
      </c>
      <c r="H206" s="5">
        <v>0.850790029374404</v>
      </c>
      <c r="I206" s="6">
        <v>49.8</v>
      </c>
      <c r="J206" s="2">
        <v>27.1</v>
      </c>
      <c r="K206" s="6">
        <v>103.136080831566</v>
      </c>
      <c r="L206" s="10">
        <v>5.17209337419934</v>
      </c>
      <c r="M206" s="11">
        <v>0.0831448581048794</v>
      </c>
      <c r="O206" s="2">
        <v>62.5</v>
      </c>
      <c r="P206" s="2">
        <v>5.8</v>
      </c>
      <c r="Q206" s="2">
        <v>4.5</v>
      </c>
      <c r="R206" s="2">
        <v>0</v>
      </c>
      <c r="S206" s="2">
        <v>1</v>
      </c>
      <c r="T206" s="2">
        <v>21.8</v>
      </c>
      <c r="U206" s="19">
        <v>0.850790029374404</v>
      </c>
      <c r="V206" s="6">
        <v>49.8</v>
      </c>
      <c r="W206" s="2">
        <v>27.1</v>
      </c>
      <c r="X206" s="10">
        <v>103.136080831566</v>
      </c>
      <c r="Y206" s="11">
        <v>5.17209337419934</v>
      </c>
      <c r="Z206" s="5">
        <v>0.0831448581048794</v>
      </c>
    </row>
    <row r="207" spans="2:26">
      <c r="B207" s="2">
        <v>65</v>
      </c>
      <c r="C207" s="2">
        <v>5.8</v>
      </c>
      <c r="D207" s="2">
        <v>4.5</v>
      </c>
      <c r="E207" s="2">
        <v>0</v>
      </c>
      <c r="F207" s="2">
        <v>1</v>
      </c>
      <c r="G207" s="2">
        <v>21.8</v>
      </c>
      <c r="H207" s="5">
        <v>0.831152647810126</v>
      </c>
      <c r="I207" s="6">
        <v>53</v>
      </c>
      <c r="J207" s="2">
        <v>28.9</v>
      </c>
      <c r="K207" s="6">
        <v>109.505314961102</v>
      </c>
      <c r="L207" s="10">
        <v>5.05511884994467</v>
      </c>
      <c r="M207" s="11">
        <v>0.0780320772483464</v>
      </c>
      <c r="O207" s="2">
        <v>65</v>
      </c>
      <c r="P207" s="2">
        <v>5.8</v>
      </c>
      <c r="Q207" s="2">
        <v>4.5</v>
      </c>
      <c r="R207" s="2">
        <v>0</v>
      </c>
      <c r="S207" s="2">
        <v>1</v>
      </c>
      <c r="T207" s="2">
        <v>21.8</v>
      </c>
      <c r="U207" s="19">
        <v>0.831152647810126</v>
      </c>
      <c r="V207" s="6">
        <v>53</v>
      </c>
      <c r="W207" s="2">
        <v>28.9</v>
      </c>
      <c r="X207" s="10">
        <v>109.505314961102</v>
      </c>
      <c r="Y207" s="11">
        <v>5.05511884994467</v>
      </c>
      <c r="Z207" s="5">
        <v>0.0780320772483464</v>
      </c>
    </row>
    <row r="208" spans="2:26">
      <c r="B208" s="2">
        <v>67.5</v>
      </c>
      <c r="C208" s="2">
        <v>5.8</v>
      </c>
      <c r="D208" s="2">
        <v>4.5</v>
      </c>
      <c r="E208" s="2">
        <v>0</v>
      </c>
      <c r="F208" s="2">
        <v>1</v>
      </c>
      <c r="G208" s="2">
        <v>21.8</v>
      </c>
      <c r="H208" s="5">
        <v>0.809058400419842</v>
      </c>
      <c r="I208" s="6">
        <v>56.8</v>
      </c>
      <c r="J208" s="2">
        <v>31.4</v>
      </c>
      <c r="K208" s="6">
        <v>112.60785784737</v>
      </c>
      <c r="L208" s="10">
        <v>4.86927542495545</v>
      </c>
      <c r="M208" s="11">
        <v>0.0744739511129235</v>
      </c>
      <c r="O208" s="2">
        <v>67.5</v>
      </c>
      <c r="P208" s="2">
        <v>5.8</v>
      </c>
      <c r="Q208" s="2">
        <v>4.5</v>
      </c>
      <c r="R208" s="2">
        <v>0</v>
      </c>
      <c r="S208" s="2">
        <v>1</v>
      </c>
      <c r="T208" s="2">
        <v>21.8</v>
      </c>
      <c r="U208" s="19">
        <v>0.809058400419842</v>
      </c>
      <c r="V208" s="6">
        <v>56.8</v>
      </c>
      <c r="W208" s="2">
        <v>31.4</v>
      </c>
      <c r="X208" s="10">
        <v>112.60785784737</v>
      </c>
      <c r="Y208" s="11">
        <v>4.86927542495545</v>
      </c>
      <c r="Z208" s="5">
        <v>0.0744739511129235</v>
      </c>
    </row>
    <row r="209" spans="2:26">
      <c r="B209" s="2">
        <v>70</v>
      </c>
      <c r="C209" s="2">
        <v>5.8</v>
      </c>
      <c r="D209" s="2">
        <v>4.5</v>
      </c>
      <c r="E209" s="2">
        <v>0</v>
      </c>
      <c r="F209" s="2">
        <v>1</v>
      </c>
      <c r="G209" s="2">
        <v>21.9</v>
      </c>
      <c r="H209" s="5">
        <v>0.784179277129304</v>
      </c>
      <c r="I209" s="6">
        <v>59</v>
      </c>
      <c r="J209" s="2">
        <v>34</v>
      </c>
      <c r="K209" s="6">
        <v>126.808913051626</v>
      </c>
      <c r="L209" s="10">
        <v>5.33392566524769</v>
      </c>
      <c r="M209" s="11">
        <v>0.0715273885761815</v>
      </c>
      <c r="O209" s="2">
        <v>70</v>
      </c>
      <c r="P209" s="2">
        <v>5.8</v>
      </c>
      <c r="Q209" s="2">
        <v>4.5</v>
      </c>
      <c r="R209" s="2">
        <v>0</v>
      </c>
      <c r="S209" s="2">
        <v>1</v>
      </c>
      <c r="T209" s="2">
        <v>21.9</v>
      </c>
      <c r="U209" s="19">
        <v>0.784179277129304</v>
      </c>
      <c r="V209" s="6">
        <v>59</v>
      </c>
      <c r="W209" s="2">
        <v>34</v>
      </c>
      <c r="X209" s="10">
        <v>126.808913051626</v>
      </c>
      <c r="Y209" s="11">
        <v>5.33392566524769</v>
      </c>
      <c r="Z209" s="5">
        <v>0.0715273885761815</v>
      </c>
    </row>
    <row r="210" spans="2:26">
      <c r="B210" s="2">
        <v>45</v>
      </c>
      <c r="C210" s="2">
        <v>4.7</v>
      </c>
      <c r="D210" s="2">
        <v>4.5</v>
      </c>
      <c r="E210" s="2">
        <v>0</v>
      </c>
      <c r="F210" s="2">
        <v>1</v>
      </c>
      <c r="G210" s="2">
        <v>21.9</v>
      </c>
      <c r="H210" s="5">
        <v>0.93913980595102</v>
      </c>
      <c r="I210" s="6">
        <v>31.8</v>
      </c>
      <c r="J210" s="2">
        <v>13.3</v>
      </c>
      <c r="K210" s="6">
        <v>47.013967471059</v>
      </c>
      <c r="L210" s="10">
        <v>4.77303261763451</v>
      </c>
      <c r="M210" s="11">
        <v>0.148155007050487</v>
      </c>
      <c r="O210" s="2">
        <v>45</v>
      </c>
      <c r="P210" s="2">
        <v>4.7</v>
      </c>
      <c r="Q210" s="2">
        <v>4.5</v>
      </c>
      <c r="R210" s="2">
        <v>0</v>
      </c>
      <c r="S210" s="2">
        <v>1</v>
      </c>
      <c r="T210" s="2">
        <v>21.9</v>
      </c>
      <c r="U210" s="19">
        <v>0.93913980595102</v>
      </c>
      <c r="V210" s="6">
        <v>31.8</v>
      </c>
      <c r="W210" s="2">
        <v>13.3</v>
      </c>
      <c r="X210" s="10">
        <v>47.013967471059</v>
      </c>
      <c r="Y210" s="11">
        <v>4.77303261763451</v>
      </c>
      <c r="Z210" s="5">
        <v>0.148155007050487</v>
      </c>
    </row>
    <row r="211" spans="2:26">
      <c r="B211" s="2">
        <v>47.5</v>
      </c>
      <c r="C211" s="2">
        <v>4.7</v>
      </c>
      <c r="D211" s="2">
        <v>4.5</v>
      </c>
      <c r="E211" s="2">
        <v>0</v>
      </c>
      <c r="F211" s="2">
        <v>1</v>
      </c>
      <c r="G211" s="2">
        <v>21.9</v>
      </c>
      <c r="H211" s="5">
        <v>0.930523923822277</v>
      </c>
      <c r="I211" s="6">
        <v>33.9</v>
      </c>
      <c r="J211" s="2">
        <v>14.8</v>
      </c>
      <c r="K211" s="6">
        <v>52.2414837781848</v>
      </c>
      <c r="L211" s="10">
        <v>4.58682472466626</v>
      </c>
      <c r="M211" s="11">
        <v>0.140741109912832</v>
      </c>
      <c r="O211" s="2">
        <v>47.5</v>
      </c>
      <c r="P211" s="2">
        <v>4.7</v>
      </c>
      <c r="Q211" s="2">
        <v>4.5</v>
      </c>
      <c r="R211" s="2">
        <v>0</v>
      </c>
      <c r="S211" s="2">
        <v>1</v>
      </c>
      <c r="T211" s="2">
        <v>21.9</v>
      </c>
      <c r="U211" s="19">
        <v>0.930523923822277</v>
      </c>
      <c r="V211" s="6">
        <v>33.9</v>
      </c>
      <c r="W211" s="2">
        <v>14.8</v>
      </c>
      <c r="X211" s="10">
        <v>52.2414837781848</v>
      </c>
      <c r="Y211" s="11">
        <v>4.58682472466626</v>
      </c>
      <c r="Z211" s="5">
        <v>0.140741109912832</v>
      </c>
    </row>
    <row r="212" spans="2:26">
      <c r="B212" s="2">
        <v>50</v>
      </c>
      <c r="C212" s="2">
        <v>4.7</v>
      </c>
      <c r="D212" s="2">
        <v>4.5</v>
      </c>
      <c r="E212" s="2">
        <v>0</v>
      </c>
      <c r="F212" s="2">
        <v>1</v>
      </c>
      <c r="G212" s="2">
        <v>21.9</v>
      </c>
      <c r="H212" s="5">
        <v>0.920818198615511</v>
      </c>
      <c r="I212" s="6">
        <v>36.2</v>
      </c>
      <c r="J212" s="2">
        <v>17</v>
      </c>
      <c r="K212" s="6">
        <v>57.7721448600747</v>
      </c>
      <c r="L212" s="10">
        <v>4.57328683884571</v>
      </c>
      <c r="M212" s="11">
        <v>0.135768797129325</v>
      </c>
      <c r="O212" s="2">
        <v>50</v>
      </c>
      <c r="P212" s="2">
        <v>4.7</v>
      </c>
      <c r="Q212" s="2">
        <v>4.5</v>
      </c>
      <c r="R212" s="2">
        <v>0</v>
      </c>
      <c r="S212" s="2">
        <v>1</v>
      </c>
      <c r="T212" s="2">
        <v>21.9</v>
      </c>
      <c r="U212" s="19">
        <v>0.920818198615511</v>
      </c>
      <c r="V212" s="6">
        <v>36.2</v>
      </c>
      <c r="W212" s="2">
        <v>17</v>
      </c>
      <c r="X212" s="10">
        <v>57.7721448600747</v>
      </c>
      <c r="Y212" s="11">
        <v>4.57328683884571</v>
      </c>
      <c r="Z212" s="5">
        <v>0.135768797129325</v>
      </c>
    </row>
    <row r="213" spans="2:26">
      <c r="B213" s="2">
        <v>52.5</v>
      </c>
      <c r="C213" s="2">
        <v>4.7</v>
      </c>
      <c r="D213" s="2">
        <v>4.5</v>
      </c>
      <c r="E213" s="2">
        <v>0</v>
      </c>
      <c r="F213" s="2">
        <v>1</v>
      </c>
      <c r="G213" s="2">
        <v>21.9</v>
      </c>
      <c r="H213" s="5">
        <v>0.909893599259399</v>
      </c>
      <c r="I213" s="6">
        <v>38.5</v>
      </c>
      <c r="J213" s="2">
        <v>18.9</v>
      </c>
      <c r="K213" s="6">
        <v>63.6962279267396</v>
      </c>
      <c r="L213" s="10">
        <v>4.54731080575747</v>
      </c>
      <c r="M213" s="11">
        <v>0.128878638210405</v>
      </c>
      <c r="O213" s="2">
        <v>52.5</v>
      </c>
      <c r="P213" s="2">
        <v>4.7</v>
      </c>
      <c r="Q213" s="2">
        <v>4.5</v>
      </c>
      <c r="R213" s="2">
        <v>0</v>
      </c>
      <c r="S213" s="2">
        <v>1</v>
      </c>
      <c r="T213" s="2">
        <v>21.9</v>
      </c>
      <c r="U213" s="19">
        <v>0.909893599259399</v>
      </c>
      <c r="V213" s="6">
        <v>38.5</v>
      </c>
      <c r="W213" s="2">
        <v>18.9</v>
      </c>
      <c r="X213" s="10">
        <v>63.6962279267396</v>
      </c>
      <c r="Y213" s="11">
        <v>4.54731080575747</v>
      </c>
      <c r="Z213" s="5">
        <v>0.128878638210405</v>
      </c>
    </row>
    <row r="214" spans="2:26">
      <c r="B214" s="2">
        <v>55</v>
      </c>
      <c r="C214" s="2">
        <v>4.7</v>
      </c>
      <c r="D214" s="2">
        <v>4.5</v>
      </c>
      <c r="E214" s="2">
        <v>0</v>
      </c>
      <c r="F214" s="2">
        <v>1</v>
      </c>
      <c r="G214" s="2">
        <v>21.8</v>
      </c>
      <c r="H214" s="5">
        <v>0.89760467536325</v>
      </c>
      <c r="I214" s="6">
        <v>39.8</v>
      </c>
      <c r="J214" s="2">
        <v>20.6</v>
      </c>
      <c r="K214" s="6">
        <v>72.9535988834022</v>
      </c>
      <c r="L214" s="10">
        <v>4.81865199849375</v>
      </c>
      <c r="M214" s="11">
        <v>0.121550715362005</v>
      </c>
      <c r="O214" s="2">
        <v>55</v>
      </c>
      <c r="P214" s="2">
        <v>4.7</v>
      </c>
      <c r="Q214" s="2">
        <v>4.5</v>
      </c>
      <c r="R214" s="2">
        <v>0</v>
      </c>
      <c r="S214" s="2">
        <v>1</v>
      </c>
      <c r="T214" s="2">
        <v>21.8</v>
      </c>
      <c r="U214" s="19">
        <v>0.89760467536325</v>
      </c>
      <c r="V214" s="6">
        <v>39.8</v>
      </c>
      <c r="W214" s="2">
        <v>20.6</v>
      </c>
      <c r="X214" s="10">
        <v>72.9535988834022</v>
      </c>
      <c r="Y214" s="11">
        <v>4.81865199849375</v>
      </c>
      <c r="Z214" s="5">
        <v>0.121550715362005</v>
      </c>
    </row>
    <row r="215" spans="2:26">
      <c r="B215" s="2">
        <v>57.5</v>
      </c>
      <c r="C215" s="2">
        <v>4.7</v>
      </c>
      <c r="D215" s="2">
        <v>4.5</v>
      </c>
      <c r="E215" s="2">
        <v>0</v>
      </c>
      <c r="F215" s="2">
        <v>1</v>
      </c>
      <c r="G215" s="2">
        <v>21.8</v>
      </c>
      <c r="H215" s="5">
        <v>0.883786850160418</v>
      </c>
      <c r="I215" s="6">
        <v>41.8</v>
      </c>
      <c r="J215" s="2">
        <v>22.6</v>
      </c>
      <c r="K215" s="6">
        <v>81.2683018644208</v>
      </c>
      <c r="L215" s="10">
        <v>4.98351411704369</v>
      </c>
      <c r="M215" s="11">
        <v>0.114585559518965</v>
      </c>
      <c r="O215" s="2">
        <v>57.5</v>
      </c>
      <c r="P215" s="2">
        <v>4.7</v>
      </c>
      <c r="Q215" s="2">
        <v>4.5</v>
      </c>
      <c r="R215" s="2">
        <v>0</v>
      </c>
      <c r="S215" s="2">
        <v>1</v>
      </c>
      <c r="T215" s="2">
        <v>21.8</v>
      </c>
      <c r="U215" s="19">
        <v>0.883786850160418</v>
      </c>
      <c r="V215" s="6">
        <v>41.8</v>
      </c>
      <c r="W215" s="2">
        <v>22.6</v>
      </c>
      <c r="X215" s="10">
        <v>81.2683018644208</v>
      </c>
      <c r="Y215" s="11">
        <v>4.98351411704369</v>
      </c>
      <c r="Z215" s="5">
        <v>0.114585559518965</v>
      </c>
    </row>
    <row r="216" spans="2:26">
      <c r="B216" s="2">
        <v>60</v>
      </c>
      <c r="C216" s="2">
        <v>4.7</v>
      </c>
      <c r="D216" s="2">
        <v>4.5</v>
      </c>
      <c r="E216" s="2">
        <v>0</v>
      </c>
      <c r="F216" s="2">
        <v>1</v>
      </c>
      <c r="G216" s="2">
        <v>21.8</v>
      </c>
      <c r="H216" s="5">
        <v>0.868253123396246</v>
      </c>
      <c r="I216" s="6">
        <v>44.1</v>
      </c>
      <c r="J216" s="2">
        <v>24.1</v>
      </c>
      <c r="K216" s="6">
        <v>89.449392807477</v>
      </c>
      <c r="L216" s="10">
        <v>5.00056883152608</v>
      </c>
      <c r="M216" s="11">
        <v>0.106844293845094</v>
      </c>
      <c r="O216" s="2">
        <v>60</v>
      </c>
      <c r="P216" s="2">
        <v>4.7</v>
      </c>
      <c r="Q216" s="2">
        <v>4.5</v>
      </c>
      <c r="R216" s="2">
        <v>0</v>
      </c>
      <c r="S216" s="2">
        <v>1</v>
      </c>
      <c r="T216" s="2">
        <v>21.8</v>
      </c>
      <c r="U216" s="19">
        <v>0.868253123396246</v>
      </c>
      <c r="V216" s="6">
        <v>44.1</v>
      </c>
      <c r="W216" s="2">
        <v>24.1</v>
      </c>
      <c r="X216" s="10">
        <v>89.449392807477</v>
      </c>
      <c r="Y216" s="11">
        <v>5.00056883152608</v>
      </c>
      <c r="Z216" s="5">
        <v>0.106844293845094</v>
      </c>
    </row>
    <row r="217" spans="2:26">
      <c r="B217" s="2">
        <v>62.5</v>
      </c>
      <c r="C217" s="2">
        <v>4.7</v>
      </c>
      <c r="D217" s="2">
        <v>4.5</v>
      </c>
      <c r="E217" s="2">
        <v>0</v>
      </c>
      <c r="F217" s="2">
        <v>1</v>
      </c>
      <c r="G217" s="2">
        <v>21.8</v>
      </c>
      <c r="H217" s="5">
        <v>0.850790029374404</v>
      </c>
      <c r="I217" s="6">
        <v>47.2</v>
      </c>
      <c r="J217" s="2">
        <v>25.9</v>
      </c>
      <c r="K217" s="6">
        <v>95.8706928525709</v>
      </c>
      <c r="L217" s="10">
        <v>4.88508204888802</v>
      </c>
      <c r="M217" s="11">
        <v>0.100206279438596</v>
      </c>
      <c r="O217" s="2">
        <v>62.5</v>
      </c>
      <c r="P217" s="2">
        <v>4.7</v>
      </c>
      <c r="Q217" s="2">
        <v>4.5</v>
      </c>
      <c r="R217" s="2">
        <v>0</v>
      </c>
      <c r="S217" s="2">
        <v>1</v>
      </c>
      <c r="T217" s="2">
        <v>21.8</v>
      </c>
      <c r="U217" s="19">
        <v>0.850790029374404</v>
      </c>
      <c r="V217" s="6">
        <v>47.2</v>
      </c>
      <c r="W217" s="2">
        <v>25.9</v>
      </c>
      <c r="X217" s="10">
        <v>95.8706928525709</v>
      </c>
      <c r="Y217" s="11">
        <v>4.88508204888802</v>
      </c>
      <c r="Z217" s="5">
        <v>0.100206279438596</v>
      </c>
    </row>
    <row r="218" spans="2:26">
      <c r="B218" s="2">
        <v>65</v>
      </c>
      <c r="C218" s="2">
        <v>4.7</v>
      </c>
      <c r="D218" s="2">
        <v>4.5</v>
      </c>
      <c r="E218" s="2">
        <v>0</v>
      </c>
      <c r="F218" s="2">
        <v>1</v>
      </c>
      <c r="G218" s="2">
        <v>21.9</v>
      </c>
      <c r="H218" s="5">
        <v>0.831152647810126</v>
      </c>
      <c r="I218" s="6">
        <v>51</v>
      </c>
      <c r="J218" s="2">
        <v>27.4</v>
      </c>
      <c r="K218" s="6">
        <v>99.8405972176752</v>
      </c>
      <c r="L218" s="10">
        <v>4.59771509835775</v>
      </c>
      <c r="M218" s="11">
        <v>0.0932692714840456</v>
      </c>
      <c r="O218" s="2">
        <v>65</v>
      </c>
      <c r="P218" s="2">
        <v>4.7</v>
      </c>
      <c r="Q218" s="2">
        <v>4.5</v>
      </c>
      <c r="R218" s="2">
        <v>0</v>
      </c>
      <c r="S218" s="2">
        <v>1</v>
      </c>
      <c r="T218" s="2">
        <v>21.9</v>
      </c>
      <c r="U218" s="19">
        <v>0.831152647810126</v>
      </c>
      <c r="V218" s="6">
        <v>51</v>
      </c>
      <c r="W218" s="2">
        <v>27.4</v>
      </c>
      <c r="X218" s="10">
        <v>99.8405972176752</v>
      </c>
      <c r="Y218" s="11">
        <v>4.59771509835775</v>
      </c>
      <c r="Z218" s="5">
        <v>0.0932692714840456</v>
      </c>
    </row>
    <row r="219" spans="2:26">
      <c r="B219" s="2">
        <v>67.5</v>
      </c>
      <c r="C219" s="2">
        <v>4.7</v>
      </c>
      <c r="D219" s="2">
        <v>4.5</v>
      </c>
      <c r="E219" s="2">
        <v>0</v>
      </c>
      <c r="F219" s="2">
        <v>1</v>
      </c>
      <c r="G219" s="2">
        <v>21.9</v>
      </c>
      <c r="H219" s="5">
        <v>0.809058400419842</v>
      </c>
      <c r="I219" s="6">
        <v>54.6</v>
      </c>
      <c r="J219" s="2">
        <v>29.1</v>
      </c>
      <c r="K219" s="6">
        <v>104.627647615918</v>
      </c>
      <c r="L219" s="10">
        <v>4.41770670873312</v>
      </c>
      <c r="M219" s="11">
        <v>0.0875695838773854</v>
      </c>
      <c r="O219" s="2">
        <v>67.5</v>
      </c>
      <c r="P219" s="2">
        <v>4.7</v>
      </c>
      <c r="Q219" s="2">
        <v>4.5</v>
      </c>
      <c r="R219" s="2">
        <v>0</v>
      </c>
      <c r="S219" s="2">
        <v>1</v>
      </c>
      <c r="T219" s="2">
        <v>21.9</v>
      </c>
      <c r="U219" s="19">
        <v>0.809058400419842</v>
      </c>
      <c r="V219" s="6">
        <v>54.6</v>
      </c>
      <c r="W219" s="2">
        <v>29.1</v>
      </c>
      <c r="X219" s="10">
        <v>104.627647615918</v>
      </c>
      <c r="Y219" s="11">
        <v>4.41770670873312</v>
      </c>
      <c r="Z219" s="5">
        <v>0.0875695838773854</v>
      </c>
    </row>
    <row r="220" spans="2:26">
      <c r="B220" s="2">
        <v>70</v>
      </c>
      <c r="C220" s="2">
        <v>4.7</v>
      </c>
      <c r="D220" s="2">
        <v>4.5</v>
      </c>
      <c r="E220" s="2">
        <v>0</v>
      </c>
      <c r="F220" s="2">
        <v>1</v>
      </c>
      <c r="G220" s="2">
        <v>21.9</v>
      </c>
      <c r="H220" s="5">
        <v>0.784179277129304</v>
      </c>
      <c r="I220" s="6">
        <v>57.9</v>
      </c>
      <c r="J220" s="2">
        <v>30.7</v>
      </c>
      <c r="K220" s="6">
        <v>110.984645481116</v>
      </c>
      <c r="L220" s="10">
        <v>4.3382390212186</v>
      </c>
      <c r="M220" s="11">
        <v>0.0822633361319752</v>
      </c>
      <c r="O220" s="2">
        <v>70</v>
      </c>
      <c r="P220" s="2">
        <v>4.7</v>
      </c>
      <c r="Q220" s="2">
        <v>4.5</v>
      </c>
      <c r="R220" s="2">
        <v>0</v>
      </c>
      <c r="S220" s="2">
        <v>1</v>
      </c>
      <c r="T220" s="2">
        <v>21.9</v>
      </c>
      <c r="U220" s="19">
        <v>0.784179277129304</v>
      </c>
      <c r="V220" s="6">
        <v>57.9</v>
      </c>
      <c r="W220" s="2">
        <v>30.7</v>
      </c>
      <c r="X220" s="10">
        <v>110.984645481116</v>
      </c>
      <c r="Y220" s="11">
        <v>4.3382390212186</v>
      </c>
      <c r="Z220" s="5">
        <v>0.0822633361319752</v>
      </c>
    </row>
    <row r="221" spans="2:26">
      <c r="B221" s="2">
        <v>45</v>
      </c>
      <c r="C221" s="2">
        <v>4.7</v>
      </c>
      <c r="D221" s="2">
        <v>8</v>
      </c>
      <c r="E221" s="2">
        <v>0</v>
      </c>
      <c r="F221" s="2">
        <v>1</v>
      </c>
      <c r="G221" s="2">
        <v>22</v>
      </c>
      <c r="H221" s="5">
        <v>0.93913980595102</v>
      </c>
      <c r="I221" s="6">
        <v>27.8</v>
      </c>
      <c r="J221" s="2">
        <v>15.6</v>
      </c>
      <c r="K221" s="6">
        <v>64.5154664392092</v>
      </c>
      <c r="L221" s="10">
        <v>9.82337018597272</v>
      </c>
      <c r="M221" s="11">
        <v>0.281499586665025</v>
      </c>
      <c r="O221" s="2">
        <v>45</v>
      </c>
      <c r="P221" s="2">
        <v>4.7</v>
      </c>
      <c r="Q221" s="2">
        <v>8</v>
      </c>
      <c r="R221" s="2">
        <v>0</v>
      </c>
      <c r="S221" s="2">
        <v>1</v>
      </c>
      <c r="T221" s="2">
        <v>22</v>
      </c>
      <c r="U221" s="19">
        <v>0.93913980595102</v>
      </c>
      <c r="V221" s="6">
        <v>27.8</v>
      </c>
      <c r="W221" s="2">
        <v>15.6</v>
      </c>
      <c r="X221" s="10">
        <v>64.5154664392092</v>
      </c>
      <c r="Y221" s="11">
        <v>9.82337018597272</v>
      </c>
      <c r="Z221" s="5">
        <v>0.281499586665025</v>
      </c>
    </row>
    <row r="222" spans="2:26">
      <c r="B222" s="2">
        <v>47.5</v>
      </c>
      <c r="C222" s="2">
        <v>4.7</v>
      </c>
      <c r="D222" s="2">
        <v>8</v>
      </c>
      <c r="E222" s="2">
        <v>0</v>
      </c>
      <c r="F222" s="2">
        <v>1</v>
      </c>
      <c r="G222" s="2">
        <v>22</v>
      </c>
      <c r="H222" s="5">
        <v>0.930523923822277</v>
      </c>
      <c r="I222" s="6">
        <v>34.1</v>
      </c>
      <c r="J222" s="2">
        <v>17.7</v>
      </c>
      <c r="K222" s="6">
        <v>62.5123895923657</v>
      </c>
      <c r="L222" s="10">
        <v>6.38326685469984</v>
      </c>
      <c r="M222" s="11">
        <v>0.271126486567938</v>
      </c>
      <c r="O222" s="2">
        <v>47.5</v>
      </c>
      <c r="P222" s="2">
        <v>4.7</v>
      </c>
      <c r="Q222" s="2">
        <v>8</v>
      </c>
      <c r="R222" s="2">
        <v>0</v>
      </c>
      <c r="S222" s="2">
        <v>1</v>
      </c>
      <c r="T222" s="2">
        <v>22</v>
      </c>
      <c r="U222" s="19">
        <v>0.930523923822277</v>
      </c>
      <c r="V222" s="6">
        <v>34.1</v>
      </c>
      <c r="W222" s="2">
        <v>17.7</v>
      </c>
      <c r="X222" s="10">
        <v>62.5123895923657</v>
      </c>
      <c r="Y222" s="11">
        <v>6.38326685469984</v>
      </c>
      <c r="Z222" s="5">
        <v>0.271126486567938</v>
      </c>
    </row>
    <row r="223" spans="2:26">
      <c r="B223" s="2">
        <v>50</v>
      </c>
      <c r="C223" s="2">
        <v>4.7</v>
      </c>
      <c r="D223" s="2">
        <v>8</v>
      </c>
      <c r="E223" s="2">
        <v>0</v>
      </c>
      <c r="F223" s="2">
        <v>1</v>
      </c>
      <c r="G223" s="2">
        <v>22</v>
      </c>
      <c r="H223" s="5">
        <v>0.0990296017182033</v>
      </c>
      <c r="I223" s="6">
        <v>36.2</v>
      </c>
      <c r="J223" s="2">
        <v>19.2</v>
      </c>
      <c r="K223" s="6">
        <v>68.5290641961344</v>
      </c>
      <c r="L223" s="10">
        <v>6.07231270151921</v>
      </c>
      <c r="M223" s="11">
        <v>0.253987158973564</v>
      </c>
      <c r="O223" s="2">
        <v>50</v>
      </c>
      <c r="P223" s="2">
        <v>4.7</v>
      </c>
      <c r="Q223" s="2">
        <v>8</v>
      </c>
      <c r="R223" s="2">
        <v>0</v>
      </c>
      <c r="S223" s="2">
        <v>1</v>
      </c>
      <c r="T223" s="2">
        <v>22</v>
      </c>
      <c r="U223" s="19">
        <v>0.0990296017182033</v>
      </c>
      <c r="V223" s="6">
        <v>36.2</v>
      </c>
      <c r="W223" s="2">
        <v>19.2</v>
      </c>
      <c r="X223" s="10">
        <v>68.5290641961344</v>
      </c>
      <c r="Y223" s="11">
        <v>6.07231270151921</v>
      </c>
      <c r="Z223" s="5">
        <v>0.253987158973564</v>
      </c>
    </row>
    <row r="224" spans="2:26">
      <c r="B224" s="2">
        <v>52.5</v>
      </c>
      <c r="C224" s="2">
        <v>4.7</v>
      </c>
      <c r="D224" s="2">
        <v>8</v>
      </c>
      <c r="E224" s="2">
        <v>0</v>
      </c>
      <c r="F224" s="2">
        <v>1</v>
      </c>
      <c r="G224" s="2">
        <v>22</v>
      </c>
      <c r="H224" s="5">
        <v>0.909893599259399</v>
      </c>
      <c r="I224" s="6">
        <v>37.9</v>
      </c>
      <c r="J224" s="2">
        <v>20.5</v>
      </c>
      <c r="K224" s="6">
        <v>76.0466215348893</v>
      </c>
      <c r="L224" s="10">
        <v>5.97718732631522</v>
      </c>
      <c r="M224" s="11">
        <v>0.236199225104258</v>
      </c>
      <c r="O224" s="2">
        <v>52.5</v>
      </c>
      <c r="P224" s="2">
        <v>4.7</v>
      </c>
      <c r="Q224" s="2">
        <v>8</v>
      </c>
      <c r="R224" s="2">
        <v>0</v>
      </c>
      <c r="S224" s="2">
        <v>1</v>
      </c>
      <c r="T224" s="2">
        <v>22</v>
      </c>
      <c r="U224" s="19">
        <v>0.909893599259399</v>
      </c>
      <c r="V224" s="6">
        <v>37.9</v>
      </c>
      <c r="W224" s="2">
        <v>20.5</v>
      </c>
      <c r="X224" s="10">
        <v>76.0466215348893</v>
      </c>
      <c r="Y224" s="11">
        <v>5.97718732631522</v>
      </c>
      <c r="Z224" s="5">
        <v>0.236199225104258</v>
      </c>
    </row>
    <row r="225" spans="2:26">
      <c r="B225" s="2">
        <v>55</v>
      </c>
      <c r="C225" s="2">
        <v>4.7</v>
      </c>
      <c r="D225" s="2">
        <v>8</v>
      </c>
      <c r="E225" s="2">
        <v>0</v>
      </c>
      <c r="F225" s="2">
        <v>1</v>
      </c>
      <c r="G225" s="2">
        <v>22</v>
      </c>
      <c r="H225" s="5">
        <v>0.89760467536325</v>
      </c>
      <c r="I225" s="6">
        <v>39.2</v>
      </c>
      <c r="J225" s="2">
        <v>21.5</v>
      </c>
      <c r="K225" s="6">
        <v>85.2988122271598</v>
      </c>
      <c r="L225" s="10">
        <v>6.02422634564532</v>
      </c>
      <c r="M225" s="11">
        <v>0.217980748545163</v>
      </c>
      <c r="O225" s="2">
        <v>55</v>
      </c>
      <c r="P225" s="2">
        <v>4.7</v>
      </c>
      <c r="Q225" s="2">
        <v>8</v>
      </c>
      <c r="R225" s="2">
        <v>0</v>
      </c>
      <c r="S225" s="2">
        <v>1</v>
      </c>
      <c r="T225" s="2">
        <v>22</v>
      </c>
      <c r="U225" s="19">
        <v>0.89760467536325</v>
      </c>
      <c r="V225" s="6">
        <v>39.2</v>
      </c>
      <c r="W225" s="2">
        <v>21.5</v>
      </c>
      <c r="X225" s="10">
        <v>85.2988122271598</v>
      </c>
      <c r="Y225" s="11">
        <v>6.02422634564532</v>
      </c>
      <c r="Z225" s="5">
        <v>0.217980748545163</v>
      </c>
    </row>
    <row r="226" spans="2:26">
      <c r="B226" s="2">
        <v>57.5</v>
      </c>
      <c r="C226" s="2">
        <v>4.7</v>
      </c>
      <c r="D226" s="2">
        <v>8</v>
      </c>
      <c r="E226" s="2">
        <v>0</v>
      </c>
      <c r="F226" s="2">
        <v>1</v>
      </c>
      <c r="G226" s="2">
        <v>22</v>
      </c>
      <c r="H226" s="5">
        <v>0.883786850160418</v>
      </c>
      <c r="I226" s="6">
        <v>40.5</v>
      </c>
      <c r="J226" s="2">
        <v>23.5</v>
      </c>
      <c r="K226" s="6">
        <v>96.0458131434696</v>
      </c>
      <c r="L226" s="10">
        <v>6.39612042534582</v>
      </c>
      <c r="M226" s="11">
        <v>0.20487799453539</v>
      </c>
      <c r="O226" s="2">
        <v>57.5</v>
      </c>
      <c r="P226" s="2">
        <v>4.7</v>
      </c>
      <c r="Q226" s="2">
        <v>8</v>
      </c>
      <c r="R226" s="2">
        <v>0</v>
      </c>
      <c r="S226" s="2">
        <v>1</v>
      </c>
      <c r="T226" s="2">
        <v>22</v>
      </c>
      <c r="U226" s="19">
        <v>0.883786850160418</v>
      </c>
      <c r="V226" s="6">
        <v>40.5</v>
      </c>
      <c r="W226" s="2">
        <v>23.5</v>
      </c>
      <c r="X226" s="10">
        <v>96.0458131434696</v>
      </c>
      <c r="Y226" s="11">
        <v>6.39612042534582</v>
      </c>
      <c r="Z226" s="5">
        <v>0.20487799453539</v>
      </c>
    </row>
    <row r="227" spans="2:26">
      <c r="B227" s="2">
        <v>60</v>
      </c>
      <c r="C227" s="2">
        <v>4.7</v>
      </c>
      <c r="D227" s="2">
        <v>8</v>
      </c>
      <c r="E227" s="2">
        <v>0</v>
      </c>
      <c r="F227" s="2">
        <v>1</v>
      </c>
      <c r="G227" s="2">
        <v>21.9</v>
      </c>
      <c r="H227" s="5">
        <v>0.868253123396246</v>
      </c>
      <c r="I227" s="6">
        <v>42.3</v>
      </c>
      <c r="J227" s="2">
        <v>25</v>
      </c>
      <c r="K227" s="6">
        <v>106.380682411063</v>
      </c>
      <c r="L227" s="10">
        <v>6.45457752853967</v>
      </c>
      <c r="M227" s="11">
        <v>0.191542896788072</v>
      </c>
      <c r="O227" s="2">
        <v>60</v>
      </c>
      <c r="P227" s="2">
        <v>4.7</v>
      </c>
      <c r="Q227" s="2">
        <v>8</v>
      </c>
      <c r="R227" s="2">
        <v>0</v>
      </c>
      <c r="S227" s="2">
        <v>1</v>
      </c>
      <c r="T227" s="2">
        <v>21.9</v>
      </c>
      <c r="U227" s="19">
        <v>0.868253123396246</v>
      </c>
      <c r="V227" s="6">
        <v>42.3</v>
      </c>
      <c r="W227" s="2">
        <v>25</v>
      </c>
      <c r="X227" s="10">
        <v>106.380682411063</v>
      </c>
      <c r="Y227" s="11">
        <v>6.45457752853967</v>
      </c>
      <c r="Z227" s="5">
        <v>0.191542896788072</v>
      </c>
    </row>
    <row r="228" spans="2:26">
      <c r="B228" s="2">
        <v>62.5</v>
      </c>
      <c r="C228" s="2">
        <v>4.7</v>
      </c>
      <c r="D228" s="2">
        <v>8</v>
      </c>
      <c r="E228" s="2">
        <v>0</v>
      </c>
      <c r="F228" s="2">
        <v>1</v>
      </c>
      <c r="G228" s="2">
        <v>21.9</v>
      </c>
      <c r="H228" s="5">
        <v>0.850790029374404</v>
      </c>
      <c r="I228" s="6">
        <v>43.9</v>
      </c>
      <c r="J228" s="2">
        <v>26.6</v>
      </c>
      <c r="K228" s="6">
        <v>118.405360790263</v>
      </c>
      <c r="L228" s="10">
        <v>6.68968270607852</v>
      </c>
      <c r="M228" s="11">
        <v>0.178566893960909</v>
      </c>
      <c r="O228" s="2">
        <v>62.5</v>
      </c>
      <c r="P228" s="2">
        <v>4.7</v>
      </c>
      <c r="Q228" s="2">
        <v>8</v>
      </c>
      <c r="R228" s="2">
        <v>0</v>
      </c>
      <c r="S228" s="2">
        <v>1</v>
      </c>
      <c r="T228" s="2">
        <v>21.9</v>
      </c>
      <c r="U228" s="19">
        <v>0.850790029374404</v>
      </c>
      <c r="V228" s="6">
        <v>43.9</v>
      </c>
      <c r="W228" s="2">
        <v>26.6</v>
      </c>
      <c r="X228" s="10">
        <v>118.405360790263</v>
      </c>
      <c r="Y228" s="11">
        <v>6.68968270607852</v>
      </c>
      <c r="Z228" s="5">
        <v>0.178566893960909</v>
      </c>
    </row>
    <row r="229" spans="2:26">
      <c r="B229" s="2">
        <v>65</v>
      </c>
      <c r="C229" s="2">
        <v>4.7</v>
      </c>
      <c r="D229" s="2">
        <v>8</v>
      </c>
      <c r="E229" s="2">
        <v>0</v>
      </c>
      <c r="F229" s="2">
        <v>1</v>
      </c>
      <c r="G229" s="2">
        <v>21.9</v>
      </c>
      <c r="H229" s="5">
        <v>0.831152647810126</v>
      </c>
      <c r="I229" s="6">
        <v>47.2</v>
      </c>
      <c r="J229" s="2">
        <v>28.1</v>
      </c>
      <c r="K229" s="6">
        <v>126.172722276089</v>
      </c>
      <c r="L229" s="10">
        <v>6.40362328328846</v>
      </c>
      <c r="M229" s="11">
        <v>0.166786784740244</v>
      </c>
      <c r="O229" s="2">
        <v>65</v>
      </c>
      <c r="P229" s="2">
        <v>4.7</v>
      </c>
      <c r="Q229" s="2">
        <v>8</v>
      </c>
      <c r="R229" s="2">
        <v>0</v>
      </c>
      <c r="S229" s="2">
        <v>1</v>
      </c>
      <c r="T229" s="2">
        <v>21.9</v>
      </c>
      <c r="U229" s="19">
        <v>0.831152647810126</v>
      </c>
      <c r="V229" s="6">
        <v>47.2</v>
      </c>
      <c r="W229" s="2">
        <v>28.1</v>
      </c>
      <c r="X229" s="10">
        <v>126.172722276089</v>
      </c>
      <c r="Y229" s="11">
        <v>6.40362328328846</v>
      </c>
      <c r="Z229" s="5">
        <v>0.166786784740244</v>
      </c>
    </row>
    <row r="230" spans="2:26">
      <c r="B230" s="2">
        <v>67.5</v>
      </c>
      <c r="C230" s="2">
        <v>4.7</v>
      </c>
      <c r="D230" s="2">
        <v>8</v>
      </c>
      <c r="E230" s="2">
        <v>0</v>
      </c>
      <c r="F230" s="2">
        <v>1</v>
      </c>
      <c r="G230" s="2">
        <v>21.9</v>
      </c>
      <c r="H230" s="5">
        <v>0.809058400419842</v>
      </c>
      <c r="I230" s="6">
        <v>51.2</v>
      </c>
      <c r="J230" s="2">
        <v>30.3</v>
      </c>
      <c r="K230" s="6">
        <v>132.14042492139</v>
      </c>
      <c r="L230" s="10">
        <v>6.13258697920611</v>
      </c>
      <c r="M230" s="11">
        <v>0.158193932010035</v>
      </c>
      <c r="O230" s="2">
        <v>67.5</v>
      </c>
      <c r="P230" s="2">
        <v>4.7</v>
      </c>
      <c r="Q230" s="2">
        <v>8</v>
      </c>
      <c r="R230" s="2">
        <v>0</v>
      </c>
      <c r="S230" s="2">
        <v>1</v>
      </c>
      <c r="T230" s="2">
        <v>21.9</v>
      </c>
      <c r="U230" s="19">
        <v>0.809058400419842</v>
      </c>
      <c r="V230" s="6">
        <v>51.2</v>
      </c>
      <c r="W230" s="2">
        <v>30.3</v>
      </c>
      <c r="X230" s="10">
        <v>132.14042492139</v>
      </c>
      <c r="Y230" s="11">
        <v>6.13258697920611</v>
      </c>
      <c r="Z230" s="5">
        <v>0.158193932010035</v>
      </c>
    </row>
    <row r="231" spans="2:26">
      <c r="B231" s="2">
        <v>70</v>
      </c>
      <c r="C231" s="2">
        <v>4.7</v>
      </c>
      <c r="D231" s="2">
        <v>8</v>
      </c>
      <c r="E231" s="2">
        <v>0</v>
      </c>
      <c r="F231" s="2">
        <v>1</v>
      </c>
      <c r="G231" s="2">
        <v>21.9</v>
      </c>
      <c r="H231" s="5">
        <v>0.784179277129304</v>
      </c>
      <c r="I231" s="6">
        <v>54.5</v>
      </c>
      <c r="J231" s="2">
        <v>32.4</v>
      </c>
      <c r="K231" s="6">
        <v>141.237851372011</v>
      </c>
      <c r="L231" s="10">
        <v>6.1062519939889</v>
      </c>
      <c r="M231" s="11">
        <v>0.150434678711803</v>
      </c>
      <c r="O231" s="2">
        <v>70</v>
      </c>
      <c r="P231" s="2">
        <v>4.7</v>
      </c>
      <c r="Q231" s="2">
        <v>8</v>
      </c>
      <c r="R231" s="2">
        <v>0</v>
      </c>
      <c r="S231" s="2">
        <v>1</v>
      </c>
      <c r="T231" s="2">
        <v>21.9</v>
      </c>
      <c r="U231" s="19">
        <v>0.784179277129304</v>
      </c>
      <c r="V231" s="6">
        <v>54.5</v>
      </c>
      <c r="W231" s="2">
        <v>32.4</v>
      </c>
      <c r="X231" s="10">
        <v>141.237851372011</v>
      </c>
      <c r="Y231" s="11">
        <v>6.1062519939889</v>
      </c>
      <c r="Z231" s="5">
        <v>0.150434678711803</v>
      </c>
    </row>
    <row r="232" spans="2:26">
      <c r="B232" s="2">
        <v>45</v>
      </c>
      <c r="C232" s="2">
        <v>5.8</v>
      </c>
      <c r="D232" s="2">
        <v>8</v>
      </c>
      <c r="E232" s="2">
        <v>0</v>
      </c>
      <c r="F232" s="2">
        <v>1</v>
      </c>
      <c r="G232" s="2">
        <v>21.6</v>
      </c>
      <c r="H232" s="5">
        <v>0.93913980595102</v>
      </c>
      <c r="I232" s="6">
        <v>29.3</v>
      </c>
      <c r="J232" s="2">
        <v>17.6</v>
      </c>
      <c r="K232" s="6">
        <v>73.0128701261774</v>
      </c>
      <c r="L232" s="10">
        <v>10.8890015449567</v>
      </c>
      <c r="M232" s="11">
        <v>0.246131497512467</v>
      </c>
      <c r="O232" s="2">
        <v>45</v>
      </c>
      <c r="P232" s="2">
        <v>5.8</v>
      </c>
      <c r="Q232" s="2">
        <v>8</v>
      </c>
      <c r="R232" s="2">
        <v>0</v>
      </c>
      <c r="S232" s="2">
        <v>1</v>
      </c>
      <c r="T232" s="2">
        <v>21.6</v>
      </c>
      <c r="U232" s="19">
        <v>0.93913980595102</v>
      </c>
      <c r="V232" s="6">
        <v>29.3</v>
      </c>
      <c r="W232" s="2">
        <v>17.6</v>
      </c>
      <c r="X232" s="10">
        <v>73.0128701261774</v>
      </c>
      <c r="Y232" s="11">
        <v>10.8890015449567</v>
      </c>
      <c r="Z232" s="5">
        <v>0.246131497512467</v>
      </c>
    </row>
    <row r="233" spans="2:26">
      <c r="B233" s="2">
        <v>47.5</v>
      </c>
      <c r="C233" s="2">
        <v>5.8</v>
      </c>
      <c r="D233" s="2">
        <v>8</v>
      </c>
      <c r="E233" s="2">
        <v>0</v>
      </c>
      <c r="F233" s="2">
        <v>1</v>
      </c>
      <c r="G233" s="2">
        <v>21.6</v>
      </c>
      <c r="H233" s="5">
        <v>0.930523923822277</v>
      </c>
      <c r="I233" s="6">
        <v>31.4</v>
      </c>
      <c r="J233" s="2">
        <v>19.8</v>
      </c>
      <c r="K233" s="6">
        <v>80.4329569162984</v>
      </c>
      <c r="L233" s="10">
        <v>10.3061489916623</v>
      </c>
      <c r="M233" s="11">
        <v>0.234044279749287</v>
      </c>
      <c r="O233" s="2">
        <v>47.5</v>
      </c>
      <c r="P233" s="2">
        <v>5.8</v>
      </c>
      <c r="Q233" s="2">
        <v>8</v>
      </c>
      <c r="R233" s="2">
        <v>0</v>
      </c>
      <c r="S233" s="2">
        <v>1</v>
      </c>
      <c r="T233" s="2">
        <v>21.6</v>
      </c>
      <c r="U233" s="19">
        <v>0.930523923822277</v>
      </c>
      <c r="V233" s="6">
        <v>31.4</v>
      </c>
      <c r="W233" s="2">
        <v>19.8</v>
      </c>
      <c r="X233" s="10">
        <v>80.4329569162984</v>
      </c>
      <c r="Y233" s="11">
        <v>10.3061489916623</v>
      </c>
      <c r="Z233" s="5">
        <v>0.234044279749287</v>
      </c>
    </row>
    <row r="234" spans="2:26">
      <c r="B234" s="2">
        <v>50</v>
      </c>
      <c r="C234" s="2">
        <v>5.8</v>
      </c>
      <c r="D234" s="2">
        <v>8</v>
      </c>
      <c r="E234" s="2">
        <v>0</v>
      </c>
      <c r="F234" s="2">
        <v>1</v>
      </c>
      <c r="G234" s="2">
        <v>21.6</v>
      </c>
      <c r="H234" s="5">
        <v>0.920818198615511</v>
      </c>
      <c r="I234" s="6">
        <v>34</v>
      </c>
      <c r="J234" s="2">
        <v>20.7</v>
      </c>
      <c r="K234" s="6">
        <v>86.5121377310542</v>
      </c>
      <c r="L234" s="10">
        <v>8.77041910080396</v>
      </c>
      <c r="M234" s="11">
        <v>0.215656464342652</v>
      </c>
      <c r="O234" s="2">
        <v>50</v>
      </c>
      <c r="P234" s="2">
        <v>5.8</v>
      </c>
      <c r="Q234" s="2">
        <v>8</v>
      </c>
      <c r="R234" s="2">
        <v>0</v>
      </c>
      <c r="S234" s="2">
        <v>1</v>
      </c>
      <c r="T234" s="2">
        <v>21.6</v>
      </c>
      <c r="U234" s="19">
        <v>0.920818198615511</v>
      </c>
      <c r="V234" s="6">
        <v>34</v>
      </c>
      <c r="W234" s="2">
        <v>20.7</v>
      </c>
      <c r="X234" s="10">
        <v>86.5121377310542</v>
      </c>
      <c r="Y234" s="11">
        <v>8.77041910080396</v>
      </c>
      <c r="Z234" s="5">
        <v>0.215656464342652</v>
      </c>
    </row>
    <row r="235" spans="2:26">
      <c r="B235" s="2">
        <v>52.5</v>
      </c>
      <c r="C235" s="2">
        <v>5.8</v>
      </c>
      <c r="D235" s="2">
        <v>8</v>
      </c>
      <c r="E235" s="2">
        <v>0</v>
      </c>
      <c r="F235" s="2">
        <v>1</v>
      </c>
      <c r="G235" s="2">
        <v>21.7</v>
      </c>
      <c r="H235" s="5">
        <v>0.909893599259399</v>
      </c>
      <c r="I235" s="6">
        <v>37.5</v>
      </c>
      <c r="J235" s="2">
        <v>21.5</v>
      </c>
      <c r="K235" s="6">
        <v>90.3202119819463</v>
      </c>
      <c r="L235" s="10">
        <v>7.36450915551995</v>
      </c>
      <c r="M235" s="11">
        <v>0.197789317978601</v>
      </c>
      <c r="O235" s="2">
        <v>52.5</v>
      </c>
      <c r="P235" s="2">
        <v>5.8</v>
      </c>
      <c r="Q235" s="2">
        <v>8</v>
      </c>
      <c r="R235" s="2">
        <v>0</v>
      </c>
      <c r="S235" s="2">
        <v>1</v>
      </c>
      <c r="T235" s="2">
        <v>21.7</v>
      </c>
      <c r="U235" s="19">
        <v>0.909893599259399</v>
      </c>
      <c r="V235" s="6">
        <v>37.5</v>
      </c>
      <c r="W235" s="2">
        <v>21.5</v>
      </c>
      <c r="X235" s="10">
        <v>90.3202119819463</v>
      </c>
      <c r="Y235" s="11">
        <v>7.36450915551995</v>
      </c>
      <c r="Z235" s="5">
        <v>0.197789317978601</v>
      </c>
    </row>
    <row r="236" spans="2:26">
      <c r="B236" s="2">
        <v>55</v>
      </c>
      <c r="C236" s="2">
        <v>5.8</v>
      </c>
      <c r="D236" s="2">
        <v>8</v>
      </c>
      <c r="E236" s="2">
        <v>0</v>
      </c>
      <c r="F236" s="2">
        <v>1</v>
      </c>
      <c r="G236" s="2">
        <v>21.7</v>
      </c>
      <c r="H236" s="5">
        <v>0.89760467536325</v>
      </c>
      <c r="I236" s="6">
        <v>40.5</v>
      </c>
      <c r="J236" s="2">
        <v>22.5</v>
      </c>
      <c r="K236" s="6">
        <v>96.0494513006808</v>
      </c>
      <c r="L236" s="10">
        <v>6.6551552518265</v>
      </c>
      <c r="M236" s="11">
        <v>0.182791045810448</v>
      </c>
      <c r="O236" s="2">
        <v>55</v>
      </c>
      <c r="P236" s="2">
        <v>5.8</v>
      </c>
      <c r="Q236" s="2">
        <v>8</v>
      </c>
      <c r="R236" s="2">
        <v>0</v>
      </c>
      <c r="S236" s="2">
        <v>1</v>
      </c>
      <c r="T236" s="2">
        <v>21.7</v>
      </c>
      <c r="U236" s="19">
        <v>0.89760467536325</v>
      </c>
      <c r="V236" s="6">
        <v>40.5</v>
      </c>
      <c r="W236" s="2">
        <v>22.5</v>
      </c>
      <c r="X236" s="10">
        <v>96.0494513006808</v>
      </c>
      <c r="Y236" s="11">
        <v>6.6551552518265</v>
      </c>
      <c r="Z236" s="5">
        <v>0.182791045810448</v>
      </c>
    </row>
    <row r="237" spans="2:26">
      <c r="B237" s="2">
        <v>57.5</v>
      </c>
      <c r="C237" s="2">
        <v>5.8</v>
      </c>
      <c r="D237" s="2">
        <v>8</v>
      </c>
      <c r="E237" s="2">
        <v>0</v>
      </c>
      <c r="F237" s="2">
        <v>1</v>
      </c>
      <c r="G237" s="2">
        <v>21.8</v>
      </c>
      <c r="H237" s="5">
        <v>0.883786850160418</v>
      </c>
      <c r="I237" s="6">
        <v>42.1</v>
      </c>
      <c r="J237" s="2">
        <v>23.9</v>
      </c>
      <c r="K237" s="6">
        <v>107.456428031419</v>
      </c>
      <c r="L237" s="10">
        <v>6.85851845806082</v>
      </c>
      <c r="M237" s="11">
        <v>0.169061099909296</v>
      </c>
      <c r="O237" s="2">
        <v>57.5</v>
      </c>
      <c r="P237" s="2">
        <v>5.8</v>
      </c>
      <c r="Q237" s="2">
        <v>8</v>
      </c>
      <c r="R237" s="2">
        <v>0</v>
      </c>
      <c r="S237" s="2">
        <v>1</v>
      </c>
      <c r="T237" s="2">
        <v>21.8</v>
      </c>
      <c r="U237" s="19">
        <v>0.883786850160418</v>
      </c>
      <c r="V237" s="6">
        <v>42.1</v>
      </c>
      <c r="W237" s="2">
        <v>23.9</v>
      </c>
      <c r="X237" s="10">
        <v>107.456428031419</v>
      </c>
      <c r="Y237" s="11">
        <v>6.85851845806082</v>
      </c>
      <c r="Z237" s="5">
        <v>0.169061099909296</v>
      </c>
    </row>
    <row r="238" spans="2:26">
      <c r="B238" s="2">
        <v>60</v>
      </c>
      <c r="C238" s="2">
        <v>5.8</v>
      </c>
      <c r="D238" s="2">
        <v>8</v>
      </c>
      <c r="E238" s="2">
        <v>0</v>
      </c>
      <c r="F238" s="2">
        <v>1</v>
      </c>
      <c r="G238" s="2">
        <v>21.8</v>
      </c>
      <c r="H238" s="5">
        <v>0.868253123396246</v>
      </c>
      <c r="I238" s="6">
        <v>43.9</v>
      </c>
      <c r="J238" s="2">
        <v>25.4</v>
      </c>
      <c r="K238" s="6">
        <v>119.582966983577</v>
      </c>
      <c r="L238" s="10">
        <v>7.02238034988798</v>
      </c>
      <c r="M238" s="11">
        <v>0.157305881351113</v>
      </c>
      <c r="O238" s="2">
        <v>60</v>
      </c>
      <c r="P238" s="2">
        <v>5.8</v>
      </c>
      <c r="Q238" s="2">
        <v>8</v>
      </c>
      <c r="R238" s="2">
        <v>0</v>
      </c>
      <c r="S238" s="2">
        <v>1</v>
      </c>
      <c r="T238" s="2">
        <v>21.8</v>
      </c>
      <c r="U238" s="19">
        <v>0.868253123396246</v>
      </c>
      <c r="V238" s="6">
        <v>43.9</v>
      </c>
      <c r="W238" s="2">
        <v>25.4</v>
      </c>
      <c r="X238" s="10">
        <v>119.582966983577</v>
      </c>
      <c r="Y238" s="11">
        <v>7.02238034988798</v>
      </c>
      <c r="Z238" s="5">
        <v>0.157305881351113</v>
      </c>
    </row>
    <row r="239" spans="2:26">
      <c r="B239" s="2">
        <v>62.5</v>
      </c>
      <c r="C239" s="2">
        <v>5.8</v>
      </c>
      <c r="D239" s="2">
        <v>8</v>
      </c>
      <c r="E239" s="2">
        <v>0</v>
      </c>
      <c r="F239" s="2">
        <v>1</v>
      </c>
      <c r="G239" s="2">
        <v>21.8</v>
      </c>
      <c r="H239" s="5">
        <v>0.850790029374404</v>
      </c>
      <c r="I239" s="6">
        <v>46.1</v>
      </c>
      <c r="J239" s="2">
        <v>27</v>
      </c>
      <c r="K239" s="6">
        <v>131.537307221923</v>
      </c>
      <c r="L239" s="10">
        <v>7.1114592542387</v>
      </c>
      <c r="M239" s="11">
        <v>0.146742334586464</v>
      </c>
      <c r="O239" s="2">
        <v>62.5</v>
      </c>
      <c r="P239" s="2">
        <v>5.8</v>
      </c>
      <c r="Q239" s="2">
        <v>8</v>
      </c>
      <c r="R239" s="2">
        <v>0</v>
      </c>
      <c r="S239" s="2">
        <v>1</v>
      </c>
      <c r="T239" s="2">
        <v>21.8</v>
      </c>
      <c r="U239" s="19">
        <v>0.850790029374404</v>
      </c>
      <c r="V239" s="6">
        <v>46.1</v>
      </c>
      <c r="W239" s="2">
        <v>27</v>
      </c>
      <c r="X239" s="10">
        <v>131.537307221923</v>
      </c>
      <c r="Y239" s="11">
        <v>7.1114592542387</v>
      </c>
      <c r="Z239" s="5">
        <v>0.146742334586464</v>
      </c>
    </row>
    <row r="240" spans="2:26">
      <c r="B240" s="2">
        <v>65</v>
      </c>
      <c r="C240" s="2">
        <v>5.8</v>
      </c>
      <c r="D240" s="2">
        <v>8</v>
      </c>
      <c r="E240" s="2">
        <v>0</v>
      </c>
      <c r="F240" s="2">
        <v>1</v>
      </c>
      <c r="G240" s="2">
        <v>21.8</v>
      </c>
      <c r="H240" s="5">
        <v>0.831152647810126</v>
      </c>
      <c r="I240" s="6">
        <v>48.4</v>
      </c>
      <c r="J240" s="2">
        <v>29.4</v>
      </c>
      <c r="K240" s="6">
        <v>144.822522324778</v>
      </c>
      <c r="L240" s="10">
        <v>7.42489937580696</v>
      </c>
      <c r="M240" s="11">
        <v>0.138941852249314</v>
      </c>
      <c r="O240" s="2">
        <v>65</v>
      </c>
      <c r="P240" s="2">
        <v>5.8</v>
      </c>
      <c r="Q240" s="2">
        <v>8</v>
      </c>
      <c r="R240" s="2">
        <v>0</v>
      </c>
      <c r="S240" s="2">
        <v>1</v>
      </c>
      <c r="T240" s="2">
        <v>21.8</v>
      </c>
      <c r="U240" s="19">
        <v>0.831152647810126</v>
      </c>
      <c r="V240" s="6">
        <v>48.4</v>
      </c>
      <c r="W240" s="2">
        <v>29.4</v>
      </c>
      <c r="X240" s="10">
        <v>144.822522324778</v>
      </c>
      <c r="Y240" s="11">
        <v>7.42489937580696</v>
      </c>
      <c r="Z240" s="5">
        <v>0.138941852249314</v>
      </c>
    </row>
    <row r="241" spans="2:26">
      <c r="B241" s="2">
        <v>67.5</v>
      </c>
      <c r="C241" s="2">
        <v>5.8</v>
      </c>
      <c r="D241" s="2">
        <v>8</v>
      </c>
      <c r="E241" s="2">
        <v>0</v>
      </c>
      <c r="F241" s="2">
        <v>1</v>
      </c>
      <c r="G241" s="2">
        <v>21.8</v>
      </c>
      <c r="H241" s="5">
        <v>0.809058400419842</v>
      </c>
      <c r="I241" s="6">
        <v>49.8</v>
      </c>
      <c r="J241" s="2">
        <v>31.2</v>
      </c>
      <c r="K241" s="6">
        <v>163.652967132717</v>
      </c>
      <c r="L241" s="10">
        <v>7.97724401115516</v>
      </c>
      <c r="M241" s="11">
        <v>0.130519675019575</v>
      </c>
      <c r="O241" s="2">
        <v>67.5</v>
      </c>
      <c r="P241" s="2">
        <v>5.8</v>
      </c>
      <c r="Q241" s="2">
        <v>8</v>
      </c>
      <c r="R241" s="2">
        <v>0</v>
      </c>
      <c r="S241" s="2">
        <v>1</v>
      </c>
      <c r="T241" s="2">
        <v>21.8</v>
      </c>
      <c r="U241" s="19">
        <v>0.809058400419842</v>
      </c>
      <c r="V241" s="6">
        <v>49.8</v>
      </c>
      <c r="W241" s="2">
        <v>31.2</v>
      </c>
      <c r="X241" s="10">
        <v>163.652967132717</v>
      </c>
      <c r="Y241" s="11">
        <v>7.97724401115516</v>
      </c>
      <c r="Z241" s="5">
        <v>0.130519675019575</v>
      </c>
    </row>
    <row r="242" spans="2:26">
      <c r="B242" s="2">
        <v>70</v>
      </c>
      <c r="C242" s="2">
        <v>5.8</v>
      </c>
      <c r="D242" s="2">
        <v>8</v>
      </c>
      <c r="E242" s="2">
        <v>0</v>
      </c>
      <c r="F242" s="2">
        <v>1</v>
      </c>
      <c r="G242" s="2">
        <v>21.9</v>
      </c>
      <c r="H242" s="5">
        <v>0.784179277129304</v>
      </c>
      <c r="I242" s="6">
        <v>51.6</v>
      </c>
      <c r="J242" s="2">
        <v>34.3</v>
      </c>
      <c r="K242" s="6">
        <v>183.695202307445</v>
      </c>
      <c r="L242" s="10">
        <v>8.85524620167969</v>
      </c>
      <c r="M242" s="11">
        <v>0.126677678734053</v>
      </c>
      <c r="O242" s="2">
        <v>70</v>
      </c>
      <c r="P242" s="2">
        <v>5.8</v>
      </c>
      <c r="Q242" s="2">
        <v>8</v>
      </c>
      <c r="R242" s="2">
        <v>0</v>
      </c>
      <c r="S242" s="2">
        <v>1</v>
      </c>
      <c r="T242" s="2">
        <v>21.9</v>
      </c>
      <c r="U242" s="19">
        <v>0.784179277129304</v>
      </c>
      <c r="V242" s="6">
        <v>51.6</v>
      </c>
      <c r="W242" s="2">
        <v>34.3</v>
      </c>
      <c r="X242" s="10">
        <v>183.695202307445</v>
      </c>
      <c r="Y242" s="11">
        <v>8.85524620167969</v>
      </c>
      <c r="Z242" s="5">
        <v>0.126677678734053</v>
      </c>
    </row>
    <row r="243" spans="2:26">
      <c r="B243" s="2">
        <v>45</v>
      </c>
      <c r="C243" s="2">
        <v>7.2</v>
      </c>
      <c r="D243" s="2">
        <v>8</v>
      </c>
      <c r="E243" s="2">
        <v>0</v>
      </c>
      <c r="F243" s="2">
        <v>1</v>
      </c>
      <c r="G243" s="2">
        <v>21.9</v>
      </c>
      <c r="H243" s="5">
        <v>0.93913980595102</v>
      </c>
      <c r="I243" s="6">
        <v>38.2</v>
      </c>
      <c r="J243" s="2">
        <v>18.3</v>
      </c>
      <c r="K243" s="6">
        <v>55.1279035004573</v>
      </c>
      <c r="L243" s="10">
        <v>5.86057163176584</v>
      </c>
      <c r="M243" s="11">
        <v>0.202123452676382</v>
      </c>
      <c r="O243" s="2">
        <v>45</v>
      </c>
      <c r="P243" s="2">
        <v>7.2</v>
      </c>
      <c r="Q243" s="2">
        <v>8</v>
      </c>
      <c r="R243" s="2">
        <v>0</v>
      </c>
      <c r="S243" s="2">
        <v>1</v>
      </c>
      <c r="T243" s="2">
        <v>21.9</v>
      </c>
      <c r="U243" s="19">
        <v>0.93913980595102</v>
      </c>
      <c r="V243" s="6">
        <v>38.2</v>
      </c>
      <c r="W243" s="2">
        <v>18.3</v>
      </c>
      <c r="X243" s="10">
        <v>55.1279035004573</v>
      </c>
      <c r="Y243" s="11">
        <v>5.86057163176584</v>
      </c>
      <c r="Z243" s="5">
        <v>0.202123452676382</v>
      </c>
    </row>
    <row r="244" spans="2:26">
      <c r="B244" s="2">
        <v>47.5</v>
      </c>
      <c r="C244" s="2">
        <v>7.2</v>
      </c>
      <c r="D244" s="2">
        <v>8</v>
      </c>
      <c r="E244" s="2">
        <v>0</v>
      </c>
      <c r="F244" s="2">
        <v>1</v>
      </c>
      <c r="G244" s="2">
        <v>21.9</v>
      </c>
      <c r="H244" s="5">
        <v>0.930523923822277</v>
      </c>
      <c r="I244" s="6">
        <v>39.6</v>
      </c>
      <c r="J244" s="2">
        <v>19.3</v>
      </c>
      <c r="K244" s="6">
        <v>63.9742164110367</v>
      </c>
      <c r="L244" s="10">
        <v>5.79704610187322</v>
      </c>
      <c r="M244" s="11">
        <v>0.186451434211125</v>
      </c>
      <c r="O244" s="2">
        <v>47.5</v>
      </c>
      <c r="P244" s="2">
        <v>7.2</v>
      </c>
      <c r="Q244" s="2">
        <v>8</v>
      </c>
      <c r="R244" s="2">
        <v>0</v>
      </c>
      <c r="S244" s="2">
        <v>1</v>
      </c>
      <c r="T244" s="2">
        <v>21.9</v>
      </c>
      <c r="U244" s="19">
        <v>0.930523923822277</v>
      </c>
      <c r="V244" s="6">
        <v>39.6</v>
      </c>
      <c r="W244" s="2">
        <v>19.3</v>
      </c>
      <c r="X244" s="10">
        <v>63.9742164110367</v>
      </c>
      <c r="Y244" s="11">
        <v>5.79704610187322</v>
      </c>
      <c r="Z244" s="5">
        <v>0.186451434211125</v>
      </c>
    </row>
    <row r="245" spans="2:26">
      <c r="B245" s="2">
        <v>50</v>
      </c>
      <c r="C245" s="2">
        <v>7.2</v>
      </c>
      <c r="D245" s="2">
        <v>8</v>
      </c>
      <c r="E245" s="2">
        <v>0</v>
      </c>
      <c r="F245" s="2">
        <v>1</v>
      </c>
      <c r="G245" s="2">
        <v>21.9</v>
      </c>
      <c r="H245" s="5">
        <v>0.920818198615511</v>
      </c>
      <c r="I245" s="6">
        <v>40.4</v>
      </c>
      <c r="J245" s="2">
        <v>20</v>
      </c>
      <c r="K245" s="6">
        <v>76.4418653684547</v>
      </c>
      <c r="L245" s="10">
        <v>6.07056216404571</v>
      </c>
      <c r="M245" s="11">
        <v>0.170673372947</v>
      </c>
      <c r="O245" s="2">
        <v>50</v>
      </c>
      <c r="P245" s="2">
        <v>7.2</v>
      </c>
      <c r="Q245" s="2">
        <v>8</v>
      </c>
      <c r="R245" s="2">
        <v>0</v>
      </c>
      <c r="S245" s="2">
        <v>1</v>
      </c>
      <c r="T245" s="2">
        <v>21.9</v>
      </c>
      <c r="U245" s="19">
        <v>0.920818198615511</v>
      </c>
      <c r="V245" s="6">
        <v>40.4</v>
      </c>
      <c r="W245" s="2">
        <v>20</v>
      </c>
      <c r="X245" s="10">
        <v>76.4418653684547</v>
      </c>
      <c r="Y245" s="11">
        <v>6.07056216404571</v>
      </c>
      <c r="Z245" s="5">
        <v>0.170673372947</v>
      </c>
    </row>
    <row r="246" spans="2:26">
      <c r="B246" s="2">
        <v>52.5</v>
      </c>
      <c r="C246" s="2">
        <v>7.2</v>
      </c>
      <c r="D246" s="2">
        <v>8</v>
      </c>
      <c r="E246" s="2">
        <v>0</v>
      </c>
      <c r="F246" s="2">
        <v>1</v>
      </c>
      <c r="G246" s="2">
        <v>21.8</v>
      </c>
      <c r="H246" s="5">
        <v>0.909893599259399</v>
      </c>
      <c r="I246" s="6">
        <v>41</v>
      </c>
      <c r="J246" s="2">
        <v>21.2</v>
      </c>
      <c r="K246" s="6">
        <v>91.5951700804727</v>
      </c>
      <c r="L246" s="10">
        <v>6.64412931819555</v>
      </c>
      <c r="M246" s="11">
        <v>0.158567325223025</v>
      </c>
      <c r="O246" s="2">
        <v>52.5</v>
      </c>
      <c r="P246" s="2">
        <v>7.2</v>
      </c>
      <c r="Q246" s="2">
        <v>8</v>
      </c>
      <c r="R246" s="2">
        <v>0</v>
      </c>
      <c r="S246" s="2">
        <v>1</v>
      </c>
      <c r="T246" s="2">
        <v>21.8</v>
      </c>
      <c r="U246" s="19">
        <v>0.909893599259399</v>
      </c>
      <c r="V246" s="6">
        <v>41</v>
      </c>
      <c r="W246" s="2">
        <v>21.2</v>
      </c>
      <c r="X246" s="10">
        <v>91.5951700804727</v>
      </c>
      <c r="Y246" s="11">
        <v>6.64412931819555</v>
      </c>
      <c r="Z246" s="5">
        <v>0.158567325223025</v>
      </c>
    </row>
    <row r="247" spans="2:26">
      <c r="B247" s="2">
        <v>55</v>
      </c>
      <c r="C247" s="2">
        <v>7.2</v>
      </c>
      <c r="D247" s="2">
        <v>8</v>
      </c>
      <c r="E247" s="2">
        <v>0</v>
      </c>
      <c r="F247" s="2">
        <v>1</v>
      </c>
      <c r="G247" s="2">
        <v>21.7</v>
      </c>
      <c r="H247" s="5">
        <v>0.89760467536325</v>
      </c>
      <c r="I247" s="6">
        <v>42.6</v>
      </c>
      <c r="J247" s="2">
        <v>22.4</v>
      </c>
      <c r="K247" s="6">
        <v>103.784241647988</v>
      </c>
      <c r="L247" s="10">
        <v>6.75621267061932</v>
      </c>
      <c r="M247" s="11">
        <v>0.147453690171089</v>
      </c>
      <c r="O247" s="2">
        <v>55</v>
      </c>
      <c r="P247" s="2">
        <v>7.2</v>
      </c>
      <c r="Q247" s="2">
        <v>8</v>
      </c>
      <c r="R247" s="2">
        <v>0</v>
      </c>
      <c r="S247" s="2">
        <v>1</v>
      </c>
      <c r="T247" s="2">
        <v>21.7</v>
      </c>
      <c r="U247" s="19">
        <v>0.89760467536325</v>
      </c>
      <c r="V247" s="6">
        <v>42.6</v>
      </c>
      <c r="W247" s="2">
        <v>22.4</v>
      </c>
      <c r="X247" s="10">
        <v>103.784241647988</v>
      </c>
      <c r="Y247" s="11">
        <v>6.75621267061932</v>
      </c>
      <c r="Z247" s="5">
        <v>0.147453690171089</v>
      </c>
    </row>
    <row r="248" spans="2:26">
      <c r="B248" s="2">
        <v>57.5</v>
      </c>
      <c r="C248" s="2">
        <v>7.2</v>
      </c>
      <c r="D248" s="2">
        <v>8</v>
      </c>
      <c r="E248" s="2">
        <v>0</v>
      </c>
      <c r="F248" s="2">
        <v>1</v>
      </c>
      <c r="G248" s="2">
        <v>21.7</v>
      </c>
      <c r="H248" s="5">
        <v>0.883786850160418</v>
      </c>
      <c r="I248" s="6">
        <v>44.7</v>
      </c>
      <c r="J248" s="2">
        <v>23.9</v>
      </c>
      <c r="K248" s="6">
        <v>114.986790319791</v>
      </c>
      <c r="L248" s="10">
        <v>6.82623551556239</v>
      </c>
      <c r="M248" s="11">
        <v>0.137316314359153</v>
      </c>
      <c r="O248" s="2">
        <v>57.5</v>
      </c>
      <c r="P248" s="2">
        <v>7.2</v>
      </c>
      <c r="Q248" s="2">
        <v>8</v>
      </c>
      <c r="R248" s="2">
        <v>0</v>
      </c>
      <c r="S248" s="2">
        <v>1</v>
      </c>
      <c r="T248" s="2">
        <v>21.7</v>
      </c>
      <c r="U248" s="19">
        <v>0.883786850160418</v>
      </c>
      <c r="V248" s="6">
        <v>44.7</v>
      </c>
      <c r="W248" s="2">
        <v>23.9</v>
      </c>
      <c r="X248" s="10">
        <v>114.986790319791</v>
      </c>
      <c r="Y248" s="11">
        <v>6.82623551556239</v>
      </c>
      <c r="Z248" s="5">
        <v>0.137316314359153</v>
      </c>
    </row>
    <row r="249" spans="2:26">
      <c r="B249" s="2">
        <v>60</v>
      </c>
      <c r="C249" s="2">
        <v>7.2</v>
      </c>
      <c r="D249" s="2">
        <v>8</v>
      </c>
      <c r="E249" s="2">
        <v>0</v>
      </c>
      <c r="F249" s="2">
        <v>1</v>
      </c>
      <c r="G249" s="2">
        <v>21.7</v>
      </c>
      <c r="H249" s="5">
        <v>0.868253123396246</v>
      </c>
      <c r="I249" s="6">
        <v>47.3</v>
      </c>
      <c r="J249" s="2">
        <v>25.3</v>
      </c>
      <c r="K249" s="6">
        <v>124.728819987934</v>
      </c>
      <c r="L249" s="10">
        <v>6.70806436648425</v>
      </c>
      <c r="M249" s="11">
        <v>0.127699448730056</v>
      </c>
      <c r="O249" s="2">
        <v>60</v>
      </c>
      <c r="P249" s="2">
        <v>7.2</v>
      </c>
      <c r="Q249" s="2">
        <v>8</v>
      </c>
      <c r="R249" s="2">
        <v>0</v>
      </c>
      <c r="S249" s="2">
        <v>1</v>
      </c>
      <c r="T249" s="2">
        <v>21.7</v>
      </c>
      <c r="U249" s="19">
        <v>0.868253123396246</v>
      </c>
      <c r="V249" s="6">
        <v>47.3</v>
      </c>
      <c r="W249" s="2">
        <v>25.3</v>
      </c>
      <c r="X249" s="10">
        <v>124.728819987934</v>
      </c>
      <c r="Y249" s="11">
        <v>6.70806436648425</v>
      </c>
      <c r="Z249" s="5">
        <v>0.127699448730056</v>
      </c>
    </row>
    <row r="250" spans="2:26">
      <c r="B250" s="2">
        <v>62.5</v>
      </c>
      <c r="C250" s="2">
        <v>7.2</v>
      </c>
      <c r="D250" s="2">
        <v>8</v>
      </c>
      <c r="E250" s="2">
        <v>0</v>
      </c>
      <c r="F250" s="2">
        <v>1</v>
      </c>
      <c r="G250" s="2">
        <v>21.7</v>
      </c>
      <c r="H250" s="5">
        <v>0.850790029374404</v>
      </c>
      <c r="I250" s="6">
        <v>50.5</v>
      </c>
      <c r="J250" s="2">
        <v>27.5</v>
      </c>
      <c r="K250" s="6">
        <v>132.136073017283</v>
      </c>
      <c r="L250" s="10">
        <v>6.58644064583972</v>
      </c>
      <c r="M250" s="11">
        <v>0.120460416697384</v>
      </c>
      <c r="O250" s="2">
        <v>62.5</v>
      </c>
      <c r="P250" s="2">
        <v>7.2</v>
      </c>
      <c r="Q250" s="2">
        <v>8</v>
      </c>
      <c r="R250" s="2">
        <v>0</v>
      </c>
      <c r="S250" s="2">
        <v>1</v>
      </c>
      <c r="T250" s="2">
        <v>21.7</v>
      </c>
      <c r="U250" s="19">
        <v>0.850790029374404</v>
      </c>
      <c r="V250" s="6">
        <v>50.5</v>
      </c>
      <c r="W250" s="2">
        <v>27.5</v>
      </c>
      <c r="X250" s="10">
        <v>132.136073017283</v>
      </c>
      <c r="Y250" s="11">
        <v>6.58644064583972</v>
      </c>
      <c r="Z250" s="5">
        <v>0.120460416697384</v>
      </c>
    </row>
    <row r="251" spans="2:26">
      <c r="B251" s="2">
        <v>65</v>
      </c>
      <c r="C251" s="2">
        <v>7.2</v>
      </c>
      <c r="D251" s="2">
        <v>8</v>
      </c>
      <c r="E251" s="2">
        <v>0</v>
      </c>
      <c r="F251" s="2">
        <v>1</v>
      </c>
      <c r="G251" s="2">
        <v>21.7</v>
      </c>
      <c r="H251" s="5">
        <v>0.831152647810126</v>
      </c>
      <c r="I251" s="6">
        <v>54.1</v>
      </c>
      <c r="J251" s="2">
        <v>29.5</v>
      </c>
      <c r="K251" s="6">
        <v>136.915380173327</v>
      </c>
      <c r="L251" s="10">
        <v>6.28257444276756</v>
      </c>
      <c r="M251" s="11">
        <v>0.11350599932253</v>
      </c>
      <c r="O251" s="2">
        <v>65</v>
      </c>
      <c r="P251" s="2">
        <v>7.2</v>
      </c>
      <c r="Q251" s="2">
        <v>8</v>
      </c>
      <c r="R251" s="2">
        <v>0</v>
      </c>
      <c r="S251" s="2">
        <v>1</v>
      </c>
      <c r="T251" s="2">
        <v>21.7</v>
      </c>
      <c r="U251" s="19">
        <v>0.831152647810126</v>
      </c>
      <c r="V251" s="6">
        <v>54.1</v>
      </c>
      <c r="W251" s="2">
        <v>29.5</v>
      </c>
      <c r="X251" s="10">
        <v>136.915380173327</v>
      </c>
      <c r="Y251" s="11">
        <v>6.28257444276756</v>
      </c>
      <c r="Z251" s="5">
        <v>0.11350599932253</v>
      </c>
    </row>
    <row r="252" spans="2:26">
      <c r="B252" s="2">
        <v>67.5</v>
      </c>
      <c r="C252" s="2">
        <v>7.2</v>
      </c>
      <c r="D252" s="2">
        <v>8</v>
      </c>
      <c r="E252" s="2">
        <v>0</v>
      </c>
      <c r="F252" s="2">
        <v>1</v>
      </c>
      <c r="G252" s="2">
        <v>21.8</v>
      </c>
      <c r="H252" s="5">
        <v>0.809058400419842</v>
      </c>
      <c r="I252" s="6">
        <v>57</v>
      </c>
      <c r="J252" s="2">
        <v>31.4</v>
      </c>
      <c r="K252" s="6">
        <v>146.93931976053</v>
      </c>
      <c r="L252" s="10">
        <v>6.33306039336991</v>
      </c>
      <c r="M252" s="11">
        <v>0.106685854968608</v>
      </c>
      <c r="O252" s="2">
        <v>67.5</v>
      </c>
      <c r="P252" s="2">
        <v>7.2</v>
      </c>
      <c r="Q252" s="2">
        <v>8</v>
      </c>
      <c r="R252" s="2">
        <v>0</v>
      </c>
      <c r="S252" s="2">
        <v>1</v>
      </c>
      <c r="T252" s="2">
        <v>21.8</v>
      </c>
      <c r="U252" s="19">
        <v>0.809058400419842</v>
      </c>
      <c r="V252" s="6">
        <v>57</v>
      </c>
      <c r="W252" s="2">
        <v>31.4</v>
      </c>
      <c r="X252" s="10">
        <v>146.93931976053</v>
      </c>
      <c r="Y252" s="11">
        <v>6.33306039336991</v>
      </c>
      <c r="Z252" s="5">
        <v>0.106685854968608</v>
      </c>
    </row>
    <row r="253" spans="2:26">
      <c r="B253" s="2">
        <v>70</v>
      </c>
      <c r="C253" s="2">
        <v>7.2</v>
      </c>
      <c r="D253" s="2">
        <v>8</v>
      </c>
      <c r="E253" s="2">
        <v>0</v>
      </c>
      <c r="F253" s="2">
        <v>1</v>
      </c>
      <c r="G253" s="2">
        <v>21.9</v>
      </c>
      <c r="H253" s="5">
        <v>0.784179277129304</v>
      </c>
      <c r="I253" s="6">
        <v>59</v>
      </c>
      <c r="J253" s="2">
        <v>33.2</v>
      </c>
      <c r="K253" s="6">
        <v>166.110893338792</v>
      </c>
      <c r="L253" s="10">
        <v>6.82592876993588</v>
      </c>
      <c r="M253" s="11">
        <v>0.100571515760389</v>
      </c>
      <c r="O253" s="2">
        <v>70</v>
      </c>
      <c r="P253" s="2">
        <v>7.2</v>
      </c>
      <c r="Q253" s="2">
        <v>8</v>
      </c>
      <c r="R253" s="2">
        <v>0</v>
      </c>
      <c r="S253" s="2">
        <v>1</v>
      </c>
      <c r="T253" s="2">
        <v>21.9</v>
      </c>
      <c r="U253" s="19">
        <v>0.784179277129304</v>
      </c>
      <c r="V253" s="6">
        <v>59</v>
      </c>
      <c r="W253" s="2">
        <v>33.2</v>
      </c>
      <c r="X253" s="10">
        <v>166.110893338792</v>
      </c>
      <c r="Y253" s="11">
        <v>6.82592876993588</v>
      </c>
      <c r="Z253" s="5">
        <v>0.100571515760389</v>
      </c>
    </row>
    <row r="254" spans="2:26">
      <c r="B254" s="1">
        <v>45</v>
      </c>
      <c r="C254" s="1">
        <v>4.5</v>
      </c>
      <c r="D254" s="1">
        <v>2.5</v>
      </c>
      <c r="E254" s="1">
        <v>0</v>
      </c>
      <c r="F254" s="2">
        <v>2</v>
      </c>
      <c r="G254" s="1">
        <v>22</v>
      </c>
      <c r="H254" s="3">
        <v>0.93913980595102</v>
      </c>
      <c r="I254" s="4">
        <v>35.7</v>
      </c>
      <c r="J254" s="1">
        <v>11.6</v>
      </c>
      <c r="K254" s="4">
        <v>34.5636789927086</v>
      </c>
      <c r="L254" s="13">
        <v>2.76182545847856</v>
      </c>
      <c r="M254" s="9">
        <v>0.117365443096772</v>
      </c>
      <c r="O254" s="1">
        <v>45</v>
      </c>
      <c r="P254" s="1">
        <v>4.5</v>
      </c>
      <c r="Q254" s="1">
        <v>2.5</v>
      </c>
      <c r="R254" s="1">
        <v>0</v>
      </c>
      <c r="S254" s="2">
        <v>2</v>
      </c>
      <c r="T254" s="1">
        <v>22</v>
      </c>
      <c r="U254" s="17">
        <v>0.93913980595102</v>
      </c>
      <c r="V254" s="4">
        <v>35.7</v>
      </c>
      <c r="W254" s="1">
        <v>11.6</v>
      </c>
      <c r="X254" s="13">
        <v>34.5636789927086</v>
      </c>
      <c r="Y254" s="9">
        <v>2.76182545847856</v>
      </c>
      <c r="Z254" s="3">
        <v>0.117365443096772</v>
      </c>
    </row>
    <row r="255" spans="2:26">
      <c r="B255" s="1">
        <v>50</v>
      </c>
      <c r="C255" s="1">
        <v>4.5</v>
      </c>
      <c r="D255" s="1">
        <v>2.5</v>
      </c>
      <c r="E255" s="1">
        <v>0</v>
      </c>
      <c r="F255" s="2">
        <v>2</v>
      </c>
      <c r="G255" s="1">
        <v>22</v>
      </c>
      <c r="H255" s="3">
        <v>0.920818198615511</v>
      </c>
      <c r="I255" s="4">
        <v>40.3</v>
      </c>
      <c r="J255" s="1">
        <v>15.5</v>
      </c>
      <c r="K255" s="4">
        <v>42.4016748132982</v>
      </c>
      <c r="L255" s="13">
        <v>2.78661186404985</v>
      </c>
      <c r="M255" s="9">
        <v>0.105406821578125</v>
      </c>
      <c r="O255" s="1">
        <v>50</v>
      </c>
      <c r="P255" s="1">
        <v>4.5</v>
      </c>
      <c r="Q255" s="1">
        <v>2.5</v>
      </c>
      <c r="R255" s="1">
        <v>0</v>
      </c>
      <c r="S255" s="2">
        <v>2</v>
      </c>
      <c r="T255" s="1">
        <v>22</v>
      </c>
      <c r="U255" s="17">
        <v>0.920818198615511</v>
      </c>
      <c r="V255" s="4">
        <v>40.3</v>
      </c>
      <c r="W255" s="1">
        <v>15.5</v>
      </c>
      <c r="X255" s="13">
        <v>42.4016748132982</v>
      </c>
      <c r="Y255" s="9">
        <v>2.78661186404985</v>
      </c>
      <c r="Z255" s="3">
        <v>0.105406821578125</v>
      </c>
    </row>
    <row r="256" spans="2:26">
      <c r="B256" s="1">
        <v>55</v>
      </c>
      <c r="C256" s="1">
        <v>4.5</v>
      </c>
      <c r="D256" s="1">
        <v>2.5</v>
      </c>
      <c r="E256" s="1">
        <v>0</v>
      </c>
      <c r="F256" s="2">
        <v>2</v>
      </c>
      <c r="G256" s="1">
        <v>22</v>
      </c>
      <c r="H256" s="3">
        <v>0.89760467536325</v>
      </c>
      <c r="I256" s="4">
        <v>45.9</v>
      </c>
      <c r="J256" s="1">
        <v>21.5</v>
      </c>
      <c r="K256" s="4">
        <v>48.9862093333355</v>
      </c>
      <c r="L256" s="13">
        <v>2.88991543942159</v>
      </c>
      <c r="M256" s="9">
        <v>0.0961252342466017</v>
      </c>
      <c r="O256" s="1">
        <v>55</v>
      </c>
      <c r="P256" s="1">
        <v>4.5</v>
      </c>
      <c r="Q256" s="1">
        <v>2.5</v>
      </c>
      <c r="R256" s="1">
        <v>0</v>
      </c>
      <c r="S256" s="2">
        <v>2</v>
      </c>
      <c r="T256" s="1">
        <v>22</v>
      </c>
      <c r="U256" s="17">
        <v>0.89760467536325</v>
      </c>
      <c r="V256" s="4">
        <v>45.9</v>
      </c>
      <c r="W256" s="1">
        <v>21.5</v>
      </c>
      <c r="X256" s="13">
        <v>48.9862093333355</v>
      </c>
      <c r="Y256" s="9">
        <v>2.88991543942159</v>
      </c>
      <c r="Z256" s="3">
        <v>0.0961252342466017</v>
      </c>
    </row>
    <row r="257" spans="2:26">
      <c r="B257" s="1">
        <v>60</v>
      </c>
      <c r="C257" s="1">
        <v>4.5</v>
      </c>
      <c r="D257" s="1">
        <v>2.5</v>
      </c>
      <c r="E257" s="1">
        <v>0</v>
      </c>
      <c r="F257" s="2">
        <v>2</v>
      </c>
      <c r="G257" s="1">
        <v>22</v>
      </c>
      <c r="H257" s="3">
        <v>0.868253123396246</v>
      </c>
      <c r="I257" s="4">
        <v>51.6</v>
      </c>
      <c r="J257" s="1">
        <v>23.6</v>
      </c>
      <c r="K257" s="4">
        <v>55.3906881873281</v>
      </c>
      <c r="L257" s="13">
        <v>2.62575969619921</v>
      </c>
      <c r="M257" s="9">
        <v>0.0815452050646361</v>
      </c>
      <c r="O257" s="1">
        <v>60</v>
      </c>
      <c r="P257" s="1">
        <v>4.5</v>
      </c>
      <c r="Q257" s="1">
        <v>2.5</v>
      </c>
      <c r="R257" s="1">
        <v>0</v>
      </c>
      <c r="S257" s="2">
        <v>2</v>
      </c>
      <c r="T257" s="1">
        <v>22</v>
      </c>
      <c r="U257" s="17">
        <v>0.868253123396246</v>
      </c>
      <c r="V257" s="4">
        <v>51.6</v>
      </c>
      <c r="W257" s="1">
        <v>23.6</v>
      </c>
      <c r="X257" s="13">
        <v>55.3906881873281</v>
      </c>
      <c r="Y257" s="9">
        <v>2.62575969619921</v>
      </c>
      <c r="Z257" s="3">
        <v>0.0815452050646361</v>
      </c>
    </row>
    <row r="258" spans="2:26">
      <c r="B258" s="1">
        <v>65</v>
      </c>
      <c r="C258" s="1">
        <v>4.5</v>
      </c>
      <c r="D258" s="1">
        <v>2.5</v>
      </c>
      <c r="E258" s="1">
        <v>0</v>
      </c>
      <c r="F258" s="2">
        <v>2</v>
      </c>
      <c r="G258" s="1">
        <v>22</v>
      </c>
      <c r="H258" s="3">
        <v>0.831152647810126</v>
      </c>
      <c r="I258" s="4">
        <v>57</v>
      </c>
      <c r="J258" s="1">
        <v>27.8</v>
      </c>
      <c r="K258" s="4">
        <v>64.6643607760081</v>
      </c>
      <c r="L258" s="13">
        <v>2.72391315190376</v>
      </c>
      <c r="M258" s="9">
        <v>0.0711335856311337</v>
      </c>
      <c r="O258" s="1">
        <v>65</v>
      </c>
      <c r="P258" s="1">
        <v>4.5</v>
      </c>
      <c r="Q258" s="1">
        <v>2.5</v>
      </c>
      <c r="R258" s="1">
        <v>0</v>
      </c>
      <c r="S258" s="2">
        <v>2</v>
      </c>
      <c r="T258" s="1">
        <v>22</v>
      </c>
      <c r="U258" s="17">
        <v>0.831152647810126</v>
      </c>
      <c r="V258" s="4">
        <v>57</v>
      </c>
      <c r="W258" s="1">
        <v>27.8</v>
      </c>
      <c r="X258" s="13">
        <v>64.6643607760081</v>
      </c>
      <c r="Y258" s="9">
        <v>2.72391315190376</v>
      </c>
      <c r="Z258" s="3">
        <v>0.0711335856311337</v>
      </c>
    </row>
    <row r="259" spans="2:26">
      <c r="B259" s="1">
        <v>70</v>
      </c>
      <c r="C259" s="1">
        <v>4.5</v>
      </c>
      <c r="D259" s="1">
        <v>2.5</v>
      </c>
      <c r="E259" s="1">
        <v>0</v>
      </c>
      <c r="F259" s="2">
        <v>2</v>
      </c>
      <c r="G259" s="1">
        <v>22</v>
      </c>
      <c r="H259" s="3">
        <v>0.784179277129304</v>
      </c>
      <c r="I259" s="4">
        <v>63.2</v>
      </c>
      <c r="J259" s="1">
        <v>29.3</v>
      </c>
      <c r="K259" s="4">
        <v>70.2968340355737</v>
      </c>
      <c r="L259" s="13">
        <v>2.46793354899784</v>
      </c>
      <c r="M259" s="9">
        <v>0.0603451867610981</v>
      </c>
      <c r="O259" s="1">
        <v>70</v>
      </c>
      <c r="P259" s="1">
        <v>4.5</v>
      </c>
      <c r="Q259" s="1">
        <v>2.5</v>
      </c>
      <c r="R259" s="1">
        <v>0</v>
      </c>
      <c r="S259" s="2">
        <v>2</v>
      </c>
      <c r="T259" s="1">
        <v>22</v>
      </c>
      <c r="U259" s="17">
        <v>0.784179277129304</v>
      </c>
      <c r="V259" s="4">
        <v>63.2</v>
      </c>
      <c r="W259" s="1">
        <v>29.3</v>
      </c>
      <c r="X259" s="13">
        <v>70.2968340355737</v>
      </c>
      <c r="Y259" s="9">
        <v>2.46793354899784</v>
      </c>
      <c r="Z259" s="3">
        <v>0.0603451867610981</v>
      </c>
    </row>
    <row r="260" spans="2:26">
      <c r="B260" s="1">
        <v>45</v>
      </c>
      <c r="C260" s="1">
        <v>5.6</v>
      </c>
      <c r="D260" s="1">
        <v>2.5</v>
      </c>
      <c r="E260" s="1">
        <v>0</v>
      </c>
      <c r="F260" s="2">
        <v>2</v>
      </c>
      <c r="G260" s="1">
        <v>22</v>
      </c>
      <c r="H260" s="3">
        <v>0.93913980595102</v>
      </c>
      <c r="I260" s="4">
        <v>37.2</v>
      </c>
      <c r="J260" s="1">
        <v>13.2</v>
      </c>
      <c r="K260" s="4">
        <v>36.9512633696279</v>
      </c>
      <c r="L260" s="13">
        <v>3.00340581811093</v>
      </c>
      <c r="M260" s="9">
        <v>0.0987197790505388</v>
      </c>
      <c r="O260" s="1">
        <v>45</v>
      </c>
      <c r="P260" s="1">
        <v>5.6</v>
      </c>
      <c r="Q260" s="1">
        <v>2.5</v>
      </c>
      <c r="R260" s="1">
        <v>0</v>
      </c>
      <c r="S260" s="2">
        <v>2</v>
      </c>
      <c r="T260" s="1">
        <v>22</v>
      </c>
      <c r="U260" s="17">
        <v>0.93913980595102</v>
      </c>
      <c r="V260" s="4">
        <v>37.2</v>
      </c>
      <c r="W260" s="1">
        <v>13.2</v>
      </c>
      <c r="X260" s="13">
        <v>36.9512633696279</v>
      </c>
      <c r="Y260" s="9">
        <v>3.00340581811093</v>
      </c>
      <c r="Z260" s="3">
        <v>0.0987197790505388</v>
      </c>
    </row>
    <row r="261" spans="2:26">
      <c r="B261" s="1">
        <v>50</v>
      </c>
      <c r="C261" s="1">
        <v>5.6</v>
      </c>
      <c r="D261" s="1">
        <v>2.5</v>
      </c>
      <c r="E261" s="1">
        <v>0</v>
      </c>
      <c r="F261" s="2">
        <v>2</v>
      </c>
      <c r="G261" s="1">
        <v>22</v>
      </c>
      <c r="H261" s="3">
        <v>0.920818198615511</v>
      </c>
      <c r="I261" s="4">
        <v>40.9</v>
      </c>
      <c r="J261" s="1">
        <v>17.9</v>
      </c>
      <c r="K261" s="4">
        <v>48.9232854584591</v>
      </c>
      <c r="L261" s="13">
        <v>3.48370761911052</v>
      </c>
      <c r="M261" s="9">
        <v>0.0889194589420692</v>
      </c>
      <c r="O261" s="1">
        <v>50</v>
      </c>
      <c r="P261" s="1">
        <v>5.6</v>
      </c>
      <c r="Q261" s="1">
        <v>2.5</v>
      </c>
      <c r="R261" s="1">
        <v>0</v>
      </c>
      <c r="S261" s="2">
        <v>2</v>
      </c>
      <c r="T261" s="1">
        <v>22</v>
      </c>
      <c r="U261" s="17">
        <v>0.920818198615511</v>
      </c>
      <c r="V261" s="4">
        <v>40.9</v>
      </c>
      <c r="W261" s="1">
        <v>17.9</v>
      </c>
      <c r="X261" s="13">
        <v>48.9232854584591</v>
      </c>
      <c r="Y261" s="9">
        <v>3.48370761911052</v>
      </c>
      <c r="Z261" s="3">
        <v>0.0889194589420692</v>
      </c>
    </row>
    <row r="262" spans="2:26">
      <c r="B262" s="1">
        <v>55</v>
      </c>
      <c r="C262" s="1">
        <v>5.6</v>
      </c>
      <c r="D262" s="1">
        <v>2.5</v>
      </c>
      <c r="E262" s="1">
        <v>0</v>
      </c>
      <c r="F262" s="2">
        <v>2</v>
      </c>
      <c r="G262" s="1">
        <v>22</v>
      </c>
      <c r="H262" s="3">
        <v>0.89760467536325</v>
      </c>
      <c r="I262" s="4">
        <v>45.8</v>
      </c>
      <c r="J262" s="1">
        <v>22.8</v>
      </c>
      <c r="K262" s="4">
        <v>59.088103906484</v>
      </c>
      <c r="L262" s="13">
        <v>3.68126647163975</v>
      </c>
      <c r="M262" s="9">
        <v>0.0786471343359743</v>
      </c>
      <c r="O262" s="1">
        <v>55</v>
      </c>
      <c r="P262" s="1">
        <v>5.6</v>
      </c>
      <c r="Q262" s="1">
        <v>2.5</v>
      </c>
      <c r="R262" s="1">
        <v>0</v>
      </c>
      <c r="S262" s="2">
        <v>2</v>
      </c>
      <c r="T262" s="1">
        <v>22</v>
      </c>
      <c r="U262" s="17">
        <v>0.89760467536325</v>
      </c>
      <c r="V262" s="4">
        <v>45.8</v>
      </c>
      <c r="W262" s="1">
        <v>22.8</v>
      </c>
      <c r="X262" s="13">
        <v>59.088103906484</v>
      </c>
      <c r="Y262" s="9">
        <v>3.68126647163975</v>
      </c>
      <c r="Z262" s="3">
        <v>0.0786471343359743</v>
      </c>
    </row>
    <row r="263" spans="2:26">
      <c r="B263" s="1">
        <v>60</v>
      </c>
      <c r="C263" s="1">
        <v>5.6</v>
      </c>
      <c r="D263" s="1">
        <v>2.5</v>
      </c>
      <c r="E263" s="1">
        <v>0</v>
      </c>
      <c r="F263" s="2">
        <v>2</v>
      </c>
      <c r="G263" s="1">
        <v>22</v>
      </c>
      <c r="H263" s="3">
        <v>0.868253123396246</v>
      </c>
      <c r="I263" s="4">
        <v>50.4</v>
      </c>
      <c r="J263" s="1">
        <v>27.5</v>
      </c>
      <c r="K263" s="4">
        <v>73.0879189647522</v>
      </c>
      <c r="L263" s="13">
        <v>4.0627650511294</v>
      </c>
      <c r="M263" s="9">
        <v>0.0686875747486655</v>
      </c>
      <c r="O263" s="1">
        <v>60</v>
      </c>
      <c r="P263" s="1">
        <v>5.6</v>
      </c>
      <c r="Q263" s="1">
        <v>2.5</v>
      </c>
      <c r="R263" s="1">
        <v>0</v>
      </c>
      <c r="S263" s="2">
        <v>2</v>
      </c>
      <c r="T263" s="1">
        <v>22</v>
      </c>
      <c r="U263" s="17">
        <v>0.868253123396246</v>
      </c>
      <c r="V263" s="4">
        <v>50.4</v>
      </c>
      <c r="W263" s="1">
        <v>27.5</v>
      </c>
      <c r="X263" s="13">
        <v>73.0879189647522</v>
      </c>
      <c r="Y263" s="9">
        <v>4.0627650511294</v>
      </c>
      <c r="Z263" s="3">
        <v>0.0686875747486655</v>
      </c>
    </row>
    <row r="264" spans="2:26">
      <c r="B264" s="1">
        <v>65</v>
      </c>
      <c r="C264" s="1">
        <v>5.6</v>
      </c>
      <c r="D264" s="1">
        <v>2.5</v>
      </c>
      <c r="E264" s="1">
        <v>0</v>
      </c>
      <c r="F264" s="2">
        <v>2</v>
      </c>
      <c r="G264" s="1">
        <v>22</v>
      </c>
      <c r="H264" s="3">
        <v>0.831152647810126</v>
      </c>
      <c r="I264" s="4">
        <v>56.5</v>
      </c>
      <c r="J264" s="1">
        <v>31</v>
      </c>
      <c r="K264" s="4">
        <v>81.5207563702851</v>
      </c>
      <c r="L264" s="13">
        <v>3.82623167874073</v>
      </c>
      <c r="M264" s="9">
        <v>0.0596114890895202</v>
      </c>
      <c r="O264" s="1">
        <v>65</v>
      </c>
      <c r="P264" s="1">
        <v>5.6</v>
      </c>
      <c r="Q264" s="1">
        <v>2.5</v>
      </c>
      <c r="R264" s="1">
        <v>0</v>
      </c>
      <c r="S264" s="2">
        <v>2</v>
      </c>
      <c r="T264" s="1">
        <v>22</v>
      </c>
      <c r="U264" s="17">
        <v>0.831152647810126</v>
      </c>
      <c r="V264" s="4">
        <v>56.5</v>
      </c>
      <c r="W264" s="1">
        <v>31</v>
      </c>
      <c r="X264" s="13">
        <v>81.5207563702851</v>
      </c>
      <c r="Y264" s="9">
        <v>3.82623167874073</v>
      </c>
      <c r="Z264" s="3">
        <v>0.0596114890895202</v>
      </c>
    </row>
    <row r="265" spans="2:26">
      <c r="B265" s="1">
        <v>70</v>
      </c>
      <c r="C265" s="1">
        <v>5.6</v>
      </c>
      <c r="D265" s="1">
        <v>2.5</v>
      </c>
      <c r="E265" s="1">
        <v>0</v>
      </c>
      <c r="F265" s="2">
        <v>2</v>
      </c>
      <c r="G265" s="1">
        <v>22</v>
      </c>
      <c r="H265" s="3">
        <v>0.784179277129304</v>
      </c>
      <c r="I265" s="4">
        <v>64</v>
      </c>
      <c r="J265" s="1">
        <v>35.6</v>
      </c>
      <c r="K265" s="4">
        <v>78.8887655876071</v>
      </c>
      <c r="L265" s="13">
        <v>3.25142484838256</v>
      </c>
      <c r="M265" s="9">
        <v>0.0539337311503248</v>
      </c>
      <c r="O265" s="1">
        <v>70</v>
      </c>
      <c r="P265" s="1">
        <v>5.6</v>
      </c>
      <c r="Q265" s="1">
        <v>2.5</v>
      </c>
      <c r="R265" s="1">
        <v>0</v>
      </c>
      <c r="S265" s="2">
        <v>2</v>
      </c>
      <c r="T265" s="1">
        <v>22</v>
      </c>
      <c r="U265" s="17">
        <v>0.784179277129304</v>
      </c>
      <c r="V265" s="4">
        <v>64</v>
      </c>
      <c r="W265" s="1">
        <v>35.6</v>
      </c>
      <c r="X265" s="13">
        <v>78.8887655876071</v>
      </c>
      <c r="Y265" s="9">
        <v>3.25142484838256</v>
      </c>
      <c r="Z265" s="3">
        <v>0.0539337311503248</v>
      </c>
    </row>
    <row r="266" spans="2:26">
      <c r="B266" s="1">
        <v>45</v>
      </c>
      <c r="C266" s="1">
        <v>6.8</v>
      </c>
      <c r="D266" s="1">
        <v>2.5</v>
      </c>
      <c r="E266" s="1">
        <v>0</v>
      </c>
      <c r="F266" s="2">
        <v>2</v>
      </c>
      <c r="G266" s="1">
        <v>22</v>
      </c>
      <c r="H266" s="3">
        <v>0.93913980595102</v>
      </c>
      <c r="I266" s="4">
        <v>37.8</v>
      </c>
      <c r="J266" s="1">
        <v>14.7</v>
      </c>
      <c r="K266" s="4">
        <v>41.0979914699756</v>
      </c>
      <c r="L266" s="13">
        <v>3.52760185025023</v>
      </c>
      <c r="M266" s="9">
        <v>0.0843825857347987</v>
      </c>
      <c r="O266" s="1">
        <v>45</v>
      </c>
      <c r="P266" s="1">
        <v>6.8</v>
      </c>
      <c r="Q266" s="1">
        <v>2.5</v>
      </c>
      <c r="R266" s="1">
        <v>0</v>
      </c>
      <c r="S266" s="2">
        <v>2</v>
      </c>
      <c r="T266" s="1">
        <v>22</v>
      </c>
      <c r="U266" s="17">
        <v>0.93913980595102</v>
      </c>
      <c r="V266" s="4">
        <v>37.8</v>
      </c>
      <c r="W266" s="1">
        <v>14.7</v>
      </c>
      <c r="X266" s="13">
        <v>41.0979914699756</v>
      </c>
      <c r="Y266" s="9">
        <v>3.52760185025023</v>
      </c>
      <c r="Z266" s="3">
        <v>0.0843825857347987</v>
      </c>
    </row>
    <row r="267" spans="2:26">
      <c r="B267" s="1">
        <v>50</v>
      </c>
      <c r="C267" s="1">
        <v>6.8</v>
      </c>
      <c r="D267" s="1">
        <v>2.5</v>
      </c>
      <c r="E267" s="1">
        <v>0</v>
      </c>
      <c r="F267" s="2">
        <v>2</v>
      </c>
      <c r="G267" s="1">
        <v>22</v>
      </c>
      <c r="H267" s="3">
        <v>0.920818198615511</v>
      </c>
      <c r="I267" s="4">
        <v>41.5</v>
      </c>
      <c r="J267" s="1">
        <v>18.9</v>
      </c>
      <c r="K267" s="4">
        <v>54.958922267127</v>
      </c>
      <c r="L267" s="13">
        <v>4.02753806510668</v>
      </c>
      <c r="M267" s="9">
        <v>0.0745981806692372</v>
      </c>
      <c r="O267" s="1">
        <v>50</v>
      </c>
      <c r="P267" s="1">
        <v>6.8</v>
      </c>
      <c r="Q267" s="1">
        <v>2.5</v>
      </c>
      <c r="R267" s="1">
        <v>0</v>
      </c>
      <c r="S267" s="2">
        <v>2</v>
      </c>
      <c r="T267" s="1">
        <v>22</v>
      </c>
      <c r="U267" s="17">
        <v>0.920818198615511</v>
      </c>
      <c r="V267" s="4">
        <v>41.5</v>
      </c>
      <c r="W267" s="1">
        <v>18.9</v>
      </c>
      <c r="X267" s="13">
        <v>54.958922267127</v>
      </c>
      <c r="Y267" s="9">
        <v>4.02753806510668</v>
      </c>
      <c r="Z267" s="3">
        <v>0.0745981806692372</v>
      </c>
    </row>
    <row r="268" spans="2:26">
      <c r="B268" s="1">
        <v>55</v>
      </c>
      <c r="C268" s="1">
        <v>6.8</v>
      </c>
      <c r="D268" s="1">
        <v>2.5</v>
      </c>
      <c r="E268" s="1">
        <v>0</v>
      </c>
      <c r="F268" s="2">
        <v>2</v>
      </c>
      <c r="G268" s="1">
        <v>22</v>
      </c>
      <c r="H268" s="3">
        <v>0.89760467536325</v>
      </c>
      <c r="I268" s="4">
        <v>46.2</v>
      </c>
      <c r="J268" s="1">
        <v>23.3</v>
      </c>
      <c r="K268" s="4">
        <v>67.5456423206533</v>
      </c>
      <c r="L268" s="13">
        <v>4.2587608894458</v>
      </c>
      <c r="M268" s="9">
        <v>0.0652432497946915</v>
      </c>
      <c r="O268" s="1">
        <v>55</v>
      </c>
      <c r="P268" s="1">
        <v>6.8</v>
      </c>
      <c r="Q268" s="1">
        <v>2.5</v>
      </c>
      <c r="R268" s="1">
        <v>0</v>
      </c>
      <c r="S268" s="2">
        <v>2</v>
      </c>
      <c r="T268" s="1">
        <v>22</v>
      </c>
      <c r="U268" s="17">
        <v>0.89760467536325</v>
      </c>
      <c r="V268" s="4">
        <v>46.2</v>
      </c>
      <c r="W268" s="1">
        <v>23.3</v>
      </c>
      <c r="X268" s="13">
        <v>67.5456423206533</v>
      </c>
      <c r="Y268" s="9">
        <v>4.2587608894458</v>
      </c>
      <c r="Z268" s="3">
        <v>0.0652432497946915</v>
      </c>
    </row>
    <row r="269" spans="2:26">
      <c r="B269" s="1">
        <v>60</v>
      </c>
      <c r="C269" s="1">
        <v>6.8</v>
      </c>
      <c r="D269" s="1">
        <v>2.5</v>
      </c>
      <c r="E269" s="1">
        <v>0</v>
      </c>
      <c r="F269" s="2">
        <v>2</v>
      </c>
      <c r="G269" s="1">
        <v>22</v>
      </c>
      <c r="H269" s="3">
        <v>0.868253123396246</v>
      </c>
      <c r="I269" s="4">
        <v>50.9</v>
      </c>
      <c r="J269" s="1">
        <v>28</v>
      </c>
      <c r="K269" s="4">
        <v>83.3933859614105</v>
      </c>
      <c r="L269" s="13">
        <v>4.6826334965985</v>
      </c>
      <c r="M269" s="9">
        <v>0.0569650331275332</v>
      </c>
      <c r="O269" s="1">
        <v>60</v>
      </c>
      <c r="P269" s="1">
        <v>6.8</v>
      </c>
      <c r="Q269" s="1">
        <v>2.5</v>
      </c>
      <c r="R269" s="1">
        <v>0</v>
      </c>
      <c r="S269" s="2">
        <v>2</v>
      </c>
      <c r="T269" s="1">
        <v>22</v>
      </c>
      <c r="U269" s="17">
        <v>0.868253123396246</v>
      </c>
      <c r="V269" s="4">
        <v>50.9</v>
      </c>
      <c r="W269" s="1">
        <v>28</v>
      </c>
      <c r="X269" s="13">
        <v>83.3933859614105</v>
      </c>
      <c r="Y269" s="9">
        <v>4.6826334965985</v>
      </c>
      <c r="Z269" s="3">
        <v>0.0569650331275332</v>
      </c>
    </row>
    <row r="270" spans="2:26">
      <c r="B270" s="1">
        <v>65</v>
      </c>
      <c r="C270" s="1">
        <v>6.8</v>
      </c>
      <c r="D270" s="1">
        <v>2.5</v>
      </c>
      <c r="E270" s="1">
        <v>0</v>
      </c>
      <c r="F270" s="2">
        <v>2</v>
      </c>
      <c r="G270" s="1">
        <v>22</v>
      </c>
      <c r="H270" s="3">
        <v>0.831152647810126</v>
      </c>
      <c r="I270" s="4">
        <v>57</v>
      </c>
      <c r="J270" s="1">
        <v>31.4</v>
      </c>
      <c r="K270" s="4">
        <v>92.6387451027619</v>
      </c>
      <c r="L270" s="13">
        <v>4.37200625172305</v>
      </c>
      <c r="M270" s="9">
        <v>0.0494195192134837</v>
      </c>
      <c r="O270" s="1">
        <v>65</v>
      </c>
      <c r="P270" s="1">
        <v>6.8</v>
      </c>
      <c r="Q270" s="1">
        <v>2.5</v>
      </c>
      <c r="R270" s="1">
        <v>0</v>
      </c>
      <c r="S270" s="2">
        <v>2</v>
      </c>
      <c r="T270" s="1">
        <v>22</v>
      </c>
      <c r="U270" s="17">
        <v>0.831152647810126</v>
      </c>
      <c r="V270" s="4">
        <v>57</v>
      </c>
      <c r="W270" s="1">
        <v>31.4</v>
      </c>
      <c r="X270" s="13">
        <v>92.6387451027619</v>
      </c>
      <c r="Y270" s="9">
        <v>4.37200625172305</v>
      </c>
      <c r="Z270" s="3">
        <v>0.0494195192134837</v>
      </c>
    </row>
    <row r="271" spans="2:26">
      <c r="B271" s="1">
        <v>70</v>
      </c>
      <c r="C271" s="1">
        <v>6.8</v>
      </c>
      <c r="D271" s="1">
        <v>2.5</v>
      </c>
      <c r="E271" s="1">
        <v>0</v>
      </c>
      <c r="F271" s="2">
        <v>2</v>
      </c>
      <c r="G271" s="1">
        <v>22</v>
      </c>
      <c r="H271" s="3">
        <v>0.784179277129304</v>
      </c>
      <c r="I271" s="4">
        <v>63.8</v>
      </c>
      <c r="J271" s="1">
        <v>36.8</v>
      </c>
      <c r="K271" s="4">
        <v>95.6679550213466</v>
      </c>
      <c r="L271" s="13">
        <v>4.11741922979141</v>
      </c>
      <c r="M271" s="9">
        <v>0.0456588104068714</v>
      </c>
      <c r="O271" s="1">
        <v>70</v>
      </c>
      <c r="P271" s="1">
        <v>6.8</v>
      </c>
      <c r="Q271" s="1">
        <v>2.5</v>
      </c>
      <c r="R271" s="1">
        <v>0</v>
      </c>
      <c r="S271" s="2">
        <v>2</v>
      </c>
      <c r="T271" s="1">
        <v>22</v>
      </c>
      <c r="U271" s="17">
        <v>0.784179277129304</v>
      </c>
      <c r="V271" s="4">
        <v>63.8</v>
      </c>
      <c r="W271" s="1">
        <v>36.8</v>
      </c>
      <c r="X271" s="13">
        <v>95.6679550213466</v>
      </c>
      <c r="Y271" s="9">
        <v>4.11741922979141</v>
      </c>
      <c r="Z271" s="3">
        <v>0.0456588104068714</v>
      </c>
    </row>
    <row r="272" spans="2:26">
      <c r="B272" s="1">
        <v>45</v>
      </c>
      <c r="C272" s="1">
        <v>8</v>
      </c>
      <c r="D272" s="1">
        <v>2.5</v>
      </c>
      <c r="E272" s="1">
        <v>0</v>
      </c>
      <c r="F272" s="2">
        <v>2</v>
      </c>
      <c r="G272" s="1">
        <v>22.1</v>
      </c>
      <c r="H272" s="3">
        <v>0.93913980595102</v>
      </c>
      <c r="I272" s="4">
        <v>38.5</v>
      </c>
      <c r="J272" s="1">
        <v>16.5</v>
      </c>
      <c r="K272" s="4">
        <v>43.9466286326714</v>
      </c>
      <c r="L272" s="13">
        <v>4.13530455887116</v>
      </c>
      <c r="M272" s="9">
        <v>0.0745208510492311</v>
      </c>
      <c r="O272" s="1">
        <v>45</v>
      </c>
      <c r="P272" s="1">
        <v>8</v>
      </c>
      <c r="Q272" s="1">
        <v>2.5</v>
      </c>
      <c r="R272" s="1">
        <v>0</v>
      </c>
      <c r="S272" s="2">
        <v>2</v>
      </c>
      <c r="T272" s="1">
        <v>22.1</v>
      </c>
      <c r="U272" s="17">
        <v>0.93913980595102</v>
      </c>
      <c r="V272" s="4">
        <v>38.5</v>
      </c>
      <c r="W272" s="1">
        <v>16.5</v>
      </c>
      <c r="X272" s="13">
        <v>43.9466286326714</v>
      </c>
      <c r="Y272" s="9">
        <v>4.13530455887116</v>
      </c>
      <c r="Z272" s="3">
        <v>0.0745208510492311</v>
      </c>
    </row>
    <row r="273" spans="2:26">
      <c r="B273" s="1">
        <v>50</v>
      </c>
      <c r="C273" s="1">
        <v>8</v>
      </c>
      <c r="D273" s="1">
        <v>2.5</v>
      </c>
      <c r="E273" s="1">
        <v>0</v>
      </c>
      <c r="F273" s="2">
        <v>2</v>
      </c>
      <c r="G273" s="1">
        <v>22.1</v>
      </c>
      <c r="H273" s="3">
        <v>0.920818198615511</v>
      </c>
      <c r="I273" s="4">
        <v>41.8</v>
      </c>
      <c r="J273" s="1">
        <v>19.1</v>
      </c>
      <c r="K273" s="4">
        <v>61.414386235949</v>
      </c>
      <c r="L273" s="13">
        <v>4.54053412175438</v>
      </c>
      <c r="M273" s="9">
        <v>0.0635458518880665</v>
      </c>
      <c r="O273" s="1">
        <v>50</v>
      </c>
      <c r="P273" s="1">
        <v>8</v>
      </c>
      <c r="Q273" s="1">
        <v>2.5</v>
      </c>
      <c r="R273" s="1">
        <v>0</v>
      </c>
      <c r="S273" s="2">
        <v>2</v>
      </c>
      <c r="T273" s="1">
        <v>22.1</v>
      </c>
      <c r="U273" s="17">
        <v>0.920818198615511</v>
      </c>
      <c r="V273" s="4">
        <v>41.8</v>
      </c>
      <c r="W273" s="1">
        <v>19.1</v>
      </c>
      <c r="X273" s="13">
        <v>61.414386235949</v>
      </c>
      <c r="Y273" s="9">
        <v>4.54053412175438</v>
      </c>
      <c r="Z273" s="3">
        <v>0.0635458518880665</v>
      </c>
    </row>
    <row r="274" spans="2:26">
      <c r="B274" s="1">
        <v>55</v>
      </c>
      <c r="C274" s="1">
        <v>8</v>
      </c>
      <c r="D274" s="1">
        <v>2.5</v>
      </c>
      <c r="E274" s="1">
        <v>0</v>
      </c>
      <c r="F274" s="2">
        <v>2</v>
      </c>
      <c r="G274" s="1">
        <v>22.1</v>
      </c>
      <c r="H274" s="3">
        <v>0.89760467536325</v>
      </c>
      <c r="I274" s="4">
        <v>47</v>
      </c>
      <c r="J274" s="1">
        <v>24.7</v>
      </c>
      <c r="K274" s="4">
        <v>72.814609844039</v>
      </c>
      <c r="L274" s="13">
        <v>4.84297229384292</v>
      </c>
      <c r="M274" s="9">
        <v>0.056434916385145</v>
      </c>
      <c r="O274" s="1">
        <v>55</v>
      </c>
      <c r="P274" s="1">
        <v>8</v>
      </c>
      <c r="Q274" s="1">
        <v>2.5</v>
      </c>
      <c r="R274" s="1">
        <v>0</v>
      </c>
      <c r="S274" s="2">
        <v>2</v>
      </c>
      <c r="T274" s="1">
        <v>22.1</v>
      </c>
      <c r="U274" s="17">
        <v>0.89760467536325</v>
      </c>
      <c r="V274" s="4">
        <v>47</v>
      </c>
      <c r="W274" s="1">
        <v>24.7</v>
      </c>
      <c r="X274" s="13">
        <v>72.814609844039</v>
      </c>
      <c r="Y274" s="9">
        <v>4.84297229384292</v>
      </c>
      <c r="Z274" s="3">
        <v>0.056434916385145</v>
      </c>
    </row>
    <row r="275" spans="2:26">
      <c r="B275" s="1">
        <v>60</v>
      </c>
      <c r="C275" s="1">
        <v>8</v>
      </c>
      <c r="D275" s="1">
        <v>2.5</v>
      </c>
      <c r="E275" s="1">
        <v>0</v>
      </c>
      <c r="F275" s="2">
        <v>2</v>
      </c>
      <c r="G275" s="1">
        <v>22.1</v>
      </c>
      <c r="H275" s="3">
        <v>0.868253123396246</v>
      </c>
      <c r="I275" s="4">
        <v>51.6</v>
      </c>
      <c r="J275" s="1">
        <v>28.8</v>
      </c>
      <c r="K275" s="4">
        <v>91.0395780091374</v>
      </c>
      <c r="L275" s="13">
        <v>5.24868091459516</v>
      </c>
      <c r="M275" s="9">
        <v>0.0488891116591009</v>
      </c>
      <c r="O275" s="1">
        <v>60</v>
      </c>
      <c r="P275" s="1">
        <v>8</v>
      </c>
      <c r="Q275" s="1">
        <v>2.5</v>
      </c>
      <c r="R275" s="1">
        <v>0</v>
      </c>
      <c r="S275" s="2">
        <v>2</v>
      </c>
      <c r="T275" s="1">
        <v>22.1</v>
      </c>
      <c r="U275" s="17">
        <v>0.868253123396246</v>
      </c>
      <c r="V275" s="4">
        <v>51.6</v>
      </c>
      <c r="W275" s="1">
        <v>28.8</v>
      </c>
      <c r="X275" s="13">
        <v>91.0395780091374</v>
      </c>
      <c r="Y275" s="9">
        <v>5.24868091459516</v>
      </c>
      <c r="Z275" s="3">
        <v>0.0488891116591009</v>
      </c>
    </row>
    <row r="276" spans="2:26">
      <c r="B276" s="1">
        <v>65</v>
      </c>
      <c r="C276" s="1">
        <v>8</v>
      </c>
      <c r="D276" s="1">
        <v>2.5</v>
      </c>
      <c r="E276" s="1">
        <v>0</v>
      </c>
      <c r="F276" s="2">
        <v>2</v>
      </c>
      <c r="G276" s="1">
        <v>22.1</v>
      </c>
      <c r="H276" s="3">
        <v>0.831152647810126</v>
      </c>
      <c r="I276" s="4">
        <v>57.9</v>
      </c>
      <c r="J276" s="1">
        <v>32.5</v>
      </c>
      <c r="K276" s="4">
        <v>98.4329924707362</v>
      </c>
      <c r="L276" s="13">
        <v>4.79043955779361</v>
      </c>
      <c r="M276" s="9">
        <v>0.0427449029238615</v>
      </c>
      <c r="O276" s="1">
        <v>65</v>
      </c>
      <c r="P276" s="1">
        <v>8</v>
      </c>
      <c r="Q276" s="1">
        <v>2.5</v>
      </c>
      <c r="R276" s="1">
        <v>0</v>
      </c>
      <c r="S276" s="2">
        <v>2</v>
      </c>
      <c r="T276" s="1">
        <v>22.1</v>
      </c>
      <c r="U276" s="17">
        <v>0.831152647810126</v>
      </c>
      <c r="V276" s="4">
        <v>57.9</v>
      </c>
      <c r="W276" s="1">
        <v>32.5</v>
      </c>
      <c r="X276" s="13">
        <v>98.4329924707362</v>
      </c>
      <c r="Y276" s="9">
        <v>4.79043955779361</v>
      </c>
      <c r="Z276" s="3">
        <v>0.0427449029238615</v>
      </c>
    </row>
    <row r="277" spans="2:26">
      <c r="B277" s="1">
        <v>70</v>
      </c>
      <c r="C277" s="1">
        <v>8</v>
      </c>
      <c r="D277" s="1">
        <v>2.5</v>
      </c>
      <c r="E277" s="1">
        <v>0</v>
      </c>
      <c r="F277" s="2">
        <v>2</v>
      </c>
      <c r="G277" s="1">
        <v>22.1</v>
      </c>
      <c r="H277" s="3">
        <v>0.784179277129304</v>
      </c>
      <c r="I277" s="4">
        <v>63.8</v>
      </c>
      <c r="J277" s="1">
        <v>37.5</v>
      </c>
      <c r="K277" s="4">
        <v>110.522639887488</v>
      </c>
      <c r="L277" s="13">
        <v>4.90358699870626</v>
      </c>
      <c r="M277" s="9">
        <v>0.0395175791530666</v>
      </c>
      <c r="O277" s="1">
        <v>70</v>
      </c>
      <c r="P277" s="1">
        <v>8</v>
      </c>
      <c r="Q277" s="1">
        <v>2.5</v>
      </c>
      <c r="R277" s="1">
        <v>0</v>
      </c>
      <c r="S277" s="2">
        <v>2</v>
      </c>
      <c r="T277" s="1">
        <v>22.1</v>
      </c>
      <c r="U277" s="17">
        <v>0.784179277129304</v>
      </c>
      <c r="V277" s="4">
        <v>63.8</v>
      </c>
      <c r="W277" s="1">
        <v>37.5</v>
      </c>
      <c r="X277" s="13">
        <v>110.522639887488</v>
      </c>
      <c r="Y277" s="9">
        <v>4.90358699870626</v>
      </c>
      <c r="Z277" s="3">
        <v>0.0395175791530666</v>
      </c>
    </row>
    <row r="278" spans="2:26">
      <c r="B278" s="1">
        <v>45</v>
      </c>
      <c r="C278" s="1">
        <v>4.5</v>
      </c>
      <c r="D278" s="1">
        <v>4.5</v>
      </c>
      <c r="E278" s="1">
        <v>0</v>
      </c>
      <c r="F278" s="2">
        <v>2</v>
      </c>
      <c r="G278" s="1">
        <v>22.3</v>
      </c>
      <c r="H278" s="3">
        <v>0.93913980595102</v>
      </c>
      <c r="I278" s="4">
        <v>31.2</v>
      </c>
      <c r="J278" s="1">
        <v>11.6</v>
      </c>
      <c r="K278" s="4">
        <v>50.4970292653497</v>
      </c>
      <c r="L278" s="13">
        <v>5.07021921720014</v>
      </c>
      <c r="M278" s="9">
        <v>0.209024327936026</v>
      </c>
      <c r="O278" s="1">
        <v>45</v>
      </c>
      <c r="P278" s="1">
        <v>4.5</v>
      </c>
      <c r="Q278" s="1">
        <v>4.5</v>
      </c>
      <c r="R278" s="1">
        <v>0</v>
      </c>
      <c r="S278" s="2">
        <v>2</v>
      </c>
      <c r="T278" s="1">
        <v>22.3</v>
      </c>
      <c r="U278" s="17">
        <v>0.93913980595102</v>
      </c>
      <c r="V278" s="4">
        <v>31.2</v>
      </c>
      <c r="W278" s="1">
        <v>11.6</v>
      </c>
      <c r="X278" s="13">
        <v>50.4970292653497</v>
      </c>
      <c r="Y278" s="9">
        <v>5.07021921720014</v>
      </c>
      <c r="Z278" s="3">
        <v>0.209024327936026</v>
      </c>
    </row>
    <row r="279" spans="2:26">
      <c r="B279" s="1">
        <v>50</v>
      </c>
      <c r="C279" s="1">
        <v>4.5</v>
      </c>
      <c r="D279" s="1">
        <v>4.5</v>
      </c>
      <c r="E279" s="1">
        <v>0</v>
      </c>
      <c r="F279" s="2">
        <v>2</v>
      </c>
      <c r="G279" s="1">
        <v>22.3</v>
      </c>
      <c r="H279" s="3">
        <v>0.920818198615511</v>
      </c>
      <c r="I279" s="4">
        <v>34.5</v>
      </c>
      <c r="J279" s="1">
        <v>15.9</v>
      </c>
      <c r="K279" s="4">
        <v>63.7087318317621</v>
      </c>
      <c r="L279" s="13">
        <v>5.30955264764731</v>
      </c>
      <c r="M279" s="9">
        <v>0.188763356705649</v>
      </c>
      <c r="O279" s="1">
        <v>50</v>
      </c>
      <c r="P279" s="1">
        <v>4.5</v>
      </c>
      <c r="Q279" s="1">
        <v>4.5</v>
      </c>
      <c r="R279" s="1">
        <v>0</v>
      </c>
      <c r="S279" s="2">
        <v>2</v>
      </c>
      <c r="T279" s="1">
        <v>22.3</v>
      </c>
      <c r="U279" s="17">
        <v>0.920818198615511</v>
      </c>
      <c r="V279" s="4">
        <v>34.5</v>
      </c>
      <c r="W279" s="1">
        <v>15.9</v>
      </c>
      <c r="X279" s="13">
        <v>63.7087318317621</v>
      </c>
      <c r="Y279" s="9">
        <v>5.30955264764731</v>
      </c>
      <c r="Z279" s="3">
        <v>0.188763356705649</v>
      </c>
    </row>
    <row r="280" spans="2:26">
      <c r="B280" s="1">
        <v>55</v>
      </c>
      <c r="C280" s="1">
        <v>4.5</v>
      </c>
      <c r="D280" s="1">
        <v>4.5</v>
      </c>
      <c r="E280" s="1">
        <v>0</v>
      </c>
      <c r="F280" s="2">
        <v>2</v>
      </c>
      <c r="G280" s="1">
        <v>22.3</v>
      </c>
      <c r="H280" s="3">
        <v>0.89760467536325</v>
      </c>
      <c r="I280" s="4">
        <v>38.6</v>
      </c>
      <c r="J280" s="1">
        <v>22.1</v>
      </c>
      <c r="K280" s="4">
        <v>78.2273194520203</v>
      </c>
      <c r="L280" s="13">
        <v>5.90562884336111</v>
      </c>
      <c r="M280" s="9">
        <v>0.171603112304424</v>
      </c>
      <c r="O280" s="1">
        <v>55</v>
      </c>
      <c r="P280" s="1">
        <v>4.5</v>
      </c>
      <c r="Q280" s="1">
        <v>4.5</v>
      </c>
      <c r="R280" s="1">
        <v>0</v>
      </c>
      <c r="S280" s="2">
        <v>2</v>
      </c>
      <c r="T280" s="1">
        <v>22.3</v>
      </c>
      <c r="U280" s="17">
        <v>0.89760467536325</v>
      </c>
      <c r="V280" s="4">
        <v>38.6</v>
      </c>
      <c r="W280" s="1">
        <v>22.1</v>
      </c>
      <c r="X280" s="13">
        <v>78.2273194520203</v>
      </c>
      <c r="Y280" s="9">
        <v>5.90562884336111</v>
      </c>
      <c r="Z280" s="3">
        <v>0.171603112304424</v>
      </c>
    </row>
    <row r="281" spans="2:26">
      <c r="B281" s="1">
        <v>60</v>
      </c>
      <c r="C281" s="1">
        <v>4.5</v>
      </c>
      <c r="D281" s="1">
        <v>4.5</v>
      </c>
      <c r="E281" s="1">
        <v>0</v>
      </c>
      <c r="F281" s="2">
        <v>2</v>
      </c>
      <c r="G281" s="1">
        <v>22.3</v>
      </c>
      <c r="H281" s="3">
        <v>0.868253123396246</v>
      </c>
      <c r="I281" s="4">
        <v>43.2</v>
      </c>
      <c r="J281" s="1">
        <v>26.3</v>
      </c>
      <c r="K281" s="4">
        <v>93.7837796924951</v>
      </c>
      <c r="L281" s="13">
        <v>5.98375859639705</v>
      </c>
      <c r="M281" s="9">
        <v>0.149124990674608</v>
      </c>
      <c r="O281" s="1">
        <v>60</v>
      </c>
      <c r="P281" s="1">
        <v>4.5</v>
      </c>
      <c r="Q281" s="1">
        <v>4.5</v>
      </c>
      <c r="R281" s="1">
        <v>0</v>
      </c>
      <c r="S281" s="2">
        <v>2</v>
      </c>
      <c r="T281" s="1">
        <v>22.3</v>
      </c>
      <c r="U281" s="17">
        <v>0.868253123396246</v>
      </c>
      <c r="V281" s="4">
        <v>43.2</v>
      </c>
      <c r="W281" s="1">
        <v>26.3</v>
      </c>
      <c r="X281" s="13">
        <v>93.7837796924951</v>
      </c>
      <c r="Y281" s="9">
        <v>5.98375859639705</v>
      </c>
      <c r="Z281" s="3">
        <v>0.149124990674608</v>
      </c>
    </row>
    <row r="282" spans="2:26">
      <c r="B282" s="1">
        <v>65</v>
      </c>
      <c r="C282" s="1">
        <v>4.5</v>
      </c>
      <c r="D282" s="1">
        <v>4.5</v>
      </c>
      <c r="E282" s="1">
        <v>0</v>
      </c>
      <c r="F282" s="2">
        <v>2</v>
      </c>
      <c r="G282" s="1">
        <v>22.3</v>
      </c>
      <c r="H282" s="3">
        <v>0.831152647810126</v>
      </c>
      <c r="I282" s="4">
        <v>48.6</v>
      </c>
      <c r="J282" s="1">
        <v>28.5</v>
      </c>
      <c r="K282" s="4">
        <v>109.77915795506</v>
      </c>
      <c r="L282" s="13">
        <v>5.591723660661</v>
      </c>
      <c r="M282" s="9">
        <v>0.126925233980594</v>
      </c>
      <c r="O282" s="1">
        <v>65</v>
      </c>
      <c r="P282" s="1">
        <v>4.5</v>
      </c>
      <c r="Q282" s="1">
        <v>4.5</v>
      </c>
      <c r="R282" s="1">
        <v>0</v>
      </c>
      <c r="S282" s="2">
        <v>2</v>
      </c>
      <c r="T282" s="1">
        <v>22.3</v>
      </c>
      <c r="U282" s="17">
        <v>0.831152647810126</v>
      </c>
      <c r="V282" s="4">
        <v>48.6</v>
      </c>
      <c r="W282" s="1">
        <v>28.5</v>
      </c>
      <c r="X282" s="13">
        <v>109.77915795506</v>
      </c>
      <c r="Y282" s="9">
        <v>5.591723660661</v>
      </c>
      <c r="Z282" s="3">
        <v>0.126925233980594</v>
      </c>
    </row>
    <row r="283" spans="2:26">
      <c r="B283" s="1">
        <v>70</v>
      </c>
      <c r="C283" s="1">
        <v>4.5</v>
      </c>
      <c r="D283" s="1">
        <v>4.5</v>
      </c>
      <c r="E283" s="1">
        <v>0</v>
      </c>
      <c r="F283" s="2">
        <v>2</v>
      </c>
      <c r="G283" s="1">
        <v>22.3</v>
      </c>
      <c r="H283" s="3">
        <v>0.784179277129304</v>
      </c>
      <c r="I283" s="4">
        <v>53.6</v>
      </c>
      <c r="J283" s="1">
        <v>30</v>
      </c>
      <c r="K283" s="4">
        <v>130.991623361943</v>
      </c>
      <c r="L283" s="13">
        <v>5.49060498986015</v>
      </c>
      <c r="M283" s="9">
        <v>0.107613461705508</v>
      </c>
      <c r="O283" s="1">
        <v>70</v>
      </c>
      <c r="P283" s="1">
        <v>4.5</v>
      </c>
      <c r="Q283" s="1">
        <v>4.5</v>
      </c>
      <c r="R283" s="1">
        <v>0</v>
      </c>
      <c r="S283" s="2">
        <v>2</v>
      </c>
      <c r="T283" s="1">
        <v>22.3</v>
      </c>
      <c r="U283" s="17">
        <v>0.784179277129304</v>
      </c>
      <c r="V283" s="4">
        <v>53.6</v>
      </c>
      <c r="W283" s="1">
        <v>30</v>
      </c>
      <c r="X283" s="13">
        <v>130.991623361943</v>
      </c>
      <c r="Y283" s="9">
        <v>5.49060498986015</v>
      </c>
      <c r="Z283" s="3">
        <v>0.107613461705508</v>
      </c>
    </row>
    <row r="284" spans="2:26">
      <c r="B284" s="1">
        <v>45</v>
      </c>
      <c r="C284" s="1">
        <v>5.6</v>
      </c>
      <c r="D284" s="1">
        <v>4.5</v>
      </c>
      <c r="E284" s="1">
        <v>0</v>
      </c>
      <c r="F284" s="2">
        <v>2</v>
      </c>
      <c r="G284" s="1">
        <v>22.3</v>
      </c>
      <c r="H284" s="3">
        <v>0.93913980595102</v>
      </c>
      <c r="I284" s="4">
        <v>32</v>
      </c>
      <c r="J284" s="1">
        <v>14.4</v>
      </c>
      <c r="K284" s="4">
        <v>58.4029032037187</v>
      </c>
      <c r="L284" s="13">
        <v>6.50234440908294</v>
      </c>
      <c r="M284" s="9">
        <v>0.180721093919905</v>
      </c>
      <c r="O284" s="1">
        <v>45</v>
      </c>
      <c r="P284" s="1">
        <v>5.6</v>
      </c>
      <c r="Q284" s="1">
        <v>4.5</v>
      </c>
      <c r="R284" s="1">
        <v>0</v>
      </c>
      <c r="S284" s="2">
        <v>2</v>
      </c>
      <c r="T284" s="1">
        <v>22.3</v>
      </c>
      <c r="U284" s="17">
        <v>0.93913980595102</v>
      </c>
      <c r="V284" s="4">
        <v>32</v>
      </c>
      <c r="W284" s="1">
        <v>14.4</v>
      </c>
      <c r="X284" s="13">
        <v>58.4029032037187</v>
      </c>
      <c r="Y284" s="9">
        <v>6.50234440908294</v>
      </c>
      <c r="Z284" s="3">
        <v>0.180721093919905</v>
      </c>
    </row>
    <row r="285" spans="2:26">
      <c r="B285" s="1">
        <v>50</v>
      </c>
      <c r="C285" s="1">
        <v>5.6</v>
      </c>
      <c r="D285" s="1">
        <v>4.5</v>
      </c>
      <c r="E285" s="1">
        <v>0</v>
      </c>
      <c r="F285" s="2">
        <v>2</v>
      </c>
      <c r="G285" s="1">
        <v>22.3</v>
      </c>
      <c r="H285" s="3">
        <v>0.920818198615511</v>
      </c>
      <c r="I285" s="4">
        <v>35.1</v>
      </c>
      <c r="J285" s="1">
        <v>18.5</v>
      </c>
      <c r="K285" s="4">
        <v>74.4827960302862</v>
      </c>
      <c r="L285" s="13">
        <v>6.832590056633</v>
      </c>
      <c r="M285" s="9">
        <v>0.159505804485887</v>
      </c>
      <c r="O285" s="1">
        <v>50</v>
      </c>
      <c r="P285" s="1">
        <v>5.6</v>
      </c>
      <c r="Q285" s="1">
        <v>4.5</v>
      </c>
      <c r="R285" s="1">
        <v>0</v>
      </c>
      <c r="S285" s="2">
        <v>2</v>
      </c>
      <c r="T285" s="1">
        <v>22.3</v>
      </c>
      <c r="U285" s="17">
        <v>0.920818198615511</v>
      </c>
      <c r="V285" s="4">
        <v>35.1</v>
      </c>
      <c r="W285" s="1">
        <v>18.5</v>
      </c>
      <c r="X285" s="13">
        <v>74.4827960302862</v>
      </c>
      <c r="Y285" s="9">
        <v>6.832590056633</v>
      </c>
      <c r="Z285" s="3">
        <v>0.159505804485887</v>
      </c>
    </row>
    <row r="286" spans="2:26">
      <c r="B286" s="1">
        <v>55</v>
      </c>
      <c r="C286" s="1">
        <v>5.6</v>
      </c>
      <c r="D286" s="1">
        <v>4.5</v>
      </c>
      <c r="E286" s="1">
        <v>0</v>
      </c>
      <c r="F286" s="2">
        <v>2</v>
      </c>
      <c r="G286" s="1">
        <v>22.3</v>
      </c>
      <c r="H286" s="3">
        <v>0.89760467536325</v>
      </c>
      <c r="I286" s="4">
        <v>39.6</v>
      </c>
      <c r="J286" s="1">
        <v>23.3</v>
      </c>
      <c r="K286" s="4">
        <v>90.0630867997573</v>
      </c>
      <c r="L286" s="13">
        <v>6.95420200598042</v>
      </c>
      <c r="M286" s="9">
        <v>0.140375167361731</v>
      </c>
      <c r="O286" s="1">
        <v>55</v>
      </c>
      <c r="P286" s="1">
        <v>5.6</v>
      </c>
      <c r="Q286" s="1">
        <v>4.5</v>
      </c>
      <c r="R286" s="1">
        <v>0</v>
      </c>
      <c r="S286" s="2">
        <v>2</v>
      </c>
      <c r="T286" s="1">
        <v>22.3</v>
      </c>
      <c r="U286" s="17">
        <v>0.89760467536325</v>
      </c>
      <c r="V286" s="4">
        <v>39.6</v>
      </c>
      <c r="W286" s="1">
        <v>23.3</v>
      </c>
      <c r="X286" s="13">
        <v>90.0630867997573</v>
      </c>
      <c r="Y286" s="9">
        <v>6.95420200598042</v>
      </c>
      <c r="Z286" s="3">
        <v>0.140375167361731</v>
      </c>
    </row>
    <row r="287" spans="2:26">
      <c r="B287" s="1">
        <v>60</v>
      </c>
      <c r="C287" s="1">
        <v>5.6</v>
      </c>
      <c r="D287" s="1">
        <v>4.5</v>
      </c>
      <c r="E287" s="1">
        <v>0</v>
      </c>
      <c r="F287" s="2">
        <v>2</v>
      </c>
      <c r="G287" s="1">
        <v>22.3</v>
      </c>
      <c r="H287" s="3">
        <v>0.868253123396246</v>
      </c>
      <c r="I287" s="4">
        <v>44.5</v>
      </c>
      <c r="J287" s="1">
        <v>28.5</v>
      </c>
      <c r="K287" s="4">
        <v>107.742349542493</v>
      </c>
      <c r="L287" s="13">
        <v>7.3006945782565</v>
      </c>
      <c r="M287" s="9">
        <v>0.123467843013178</v>
      </c>
      <c r="O287" s="1">
        <v>60</v>
      </c>
      <c r="P287" s="1">
        <v>5.6</v>
      </c>
      <c r="Q287" s="1">
        <v>4.5</v>
      </c>
      <c r="R287" s="1">
        <v>0</v>
      </c>
      <c r="S287" s="2">
        <v>2</v>
      </c>
      <c r="T287" s="1">
        <v>22.3</v>
      </c>
      <c r="U287" s="17">
        <v>0.868253123396246</v>
      </c>
      <c r="V287" s="4">
        <v>44.5</v>
      </c>
      <c r="W287" s="1">
        <v>28.5</v>
      </c>
      <c r="X287" s="13">
        <v>107.742349542493</v>
      </c>
      <c r="Y287" s="9">
        <v>7.3006945782565</v>
      </c>
      <c r="Z287" s="3">
        <v>0.123467843013178</v>
      </c>
    </row>
    <row r="288" spans="2:26">
      <c r="B288" s="1">
        <v>65</v>
      </c>
      <c r="C288" s="1">
        <v>5.6</v>
      </c>
      <c r="D288" s="1">
        <v>4.5</v>
      </c>
      <c r="E288" s="1">
        <v>0</v>
      </c>
      <c r="F288" s="2">
        <v>2</v>
      </c>
      <c r="G288" s="1">
        <v>22.3</v>
      </c>
      <c r="H288" s="3">
        <v>0.831152647810126</v>
      </c>
      <c r="I288" s="4">
        <v>49.8</v>
      </c>
      <c r="J288" s="1">
        <v>31.7</v>
      </c>
      <c r="K288" s="4">
        <v>127.323773617133</v>
      </c>
      <c r="L288" s="13">
        <v>7.07064204318922</v>
      </c>
      <c r="M288" s="9">
        <v>0.106937885642437</v>
      </c>
      <c r="O288" s="1">
        <v>65</v>
      </c>
      <c r="P288" s="1">
        <v>5.6</v>
      </c>
      <c r="Q288" s="1">
        <v>4.5</v>
      </c>
      <c r="R288" s="1">
        <v>0</v>
      </c>
      <c r="S288" s="2">
        <v>2</v>
      </c>
      <c r="T288" s="1">
        <v>22.3</v>
      </c>
      <c r="U288" s="17">
        <v>0.831152647810126</v>
      </c>
      <c r="V288" s="4">
        <v>49.8</v>
      </c>
      <c r="W288" s="1">
        <v>31.7</v>
      </c>
      <c r="X288" s="13">
        <v>127.323773617133</v>
      </c>
      <c r="Y288" s="9">
        <v>7.07064204318922</v>
      </c>
      <c r="Z288" s="3">
        <v>0.106937885642437</v>
      </c>
    </row>
    <row r="289" spans="2:26">
      <c r="B289" s="1">
        <v>70</v>
      </c>
      <c r="C289" s="1">
        <v>5.6</v>
      </c>
      <c r="D289" s="1">
        <v>4.5</v>
      </c>
      <c r="E289" s="1">
        <v>0</v>
      </c>
      <c r="F289" s="2">
        <v>2</v>
      </c>
      <c r="G289" s="1">
        <v>22.3</v>
      </c>
      <c r="H289" s="3">
        <v>0.784179277129304</v>
      </c>
      <c r="I289" s="4">
        <v>54.3</v>
      </c>
      <c r="J289" s="1">
        <v>35.9</v>
      </c>
      <c r="K289" s="4">
        <v>156.662084048683</v>
      </c>
      <c r="L289" s="13">
        <v>7.73721747797166</v>
      </c>
      <c r="M289" s="9">
        <v>0.0962525595295641</v>
      </c>
      <c r="O289" s="1">
        <v>70</v>
      </c>
      <c r="P289" s="1">
        <v>5.6</v>
      </c>
      <c r="Q289" s="1">
        <v>4.5</v>
      </c>
      <c r="R289" s="1">
        <v>0</v>
      </c>
      <c r="S289" s="2">
        <v>2</v>
      </c>
      <c r="T289" s="1">
        <v>22.3</v>
      </c>
      <c r="U289" s="17">
        <v>0.784179277129304</v>
      </c>
      <c r="V289" s="4">
        <v>54.3</v>
      </c>
      <c r="W289" s="1">
        <v>35.9</v>
      </c>
      <c r="X289" s="13">
        <v>156.662084048683</v>
      </c>
      <c r="Y289" s="9">
        <v>7.73721747797166</v>
      </c>
      <c r="Z289" s="3">
        <v>0.0962525595295641</v>
      </c>
    </row>
    <row r="290" spans="2:26">
      <c r="B290" s="1">
        <v>45</v>
      </c>
      <c r="C290" s="1">
        <v>6.8</v>
      </c>
      <c r="D290" s="1">
        <v>4.5</v>
      </c>
      <c r="E290" s="1">
        <v>0</v>
      </c>
      <c r="F290" s="2">
        <v>2</v>
      </c>
      <c r="G290" s="1">
        <v>22.3</v>
      </c>
      <c r="H290" s="3">
        <v>0.93913980595102</v>
      </c>
      <c r="I290" s="4">
        <v>32.6</v>
      </c>
      <c r="J290" s="1">
        <v>17.5</v>
      </c>
      <c r="K290" s="4">
        <v>66.7637921751493</v>
      </c>
      <c r="L290" s="13">
        <v>8.94746441128801</v>
      </c>
      <c r="M290" s="9">
        <v>0.158870550707707</v>
      </c>
      <c r="O290" s="1">
        <v>45</v>
      </c>
      <c r="P290" s="1">
        <v>6.8</v>
      </c>
      <c r="Q290" s="1">
        <v>4.5</v>
      </c>
      <c r="R290" s="1">
        <v>0</v>
      </c>
      <c r="S290" s="2">
        <v>2</v>
      </c>
      <c r="T290" s="1">
        <v>22.3</v>
      </c>
      <c r="U290" s="17">
        <v>0.93913980595102</v>
      </c>
      <c r="V290" s="4">
        <v>32.6</v>
      </c>
      <c r="W290" s="1">
        <v>17.5</v>
      </c>
      <c r="X290" s="13">
        <v>66.7637921751493</v>
      </c>
      <c r="Y290" s="9">
        <v>8.94746441128801</v>
      </c>
      <c r="Z290" s="3">
        <v>0.158870550707707</v>
      </c>
    </row>
    <row r="291" spans="2:26">
      <c r="B291" s="1">
        <v>50</v>
      </c>
      <c r="C291" s="1">
        <v>6.8</v>
      </c>
      <c r="D291" s="1">
        <v>4.5</v>
      </c>
      <c r="E291" s="1">
        <v>0</v>
      </c>
      <c r="F291" s="2">
        <v>2</v>
      </c>
      <c r="G291" s="1">
        <v>22.5</v>
      </c>
      <c r="H291" s="3">
        <v>0.920818198615511</v>
      </c>
      <c r="I291" s="4">
        <v>36.9</v>
      </c>
      <c r="J291" s="1">
        <v>21.3</v>
      </c>
      <c r="K291" s="4">
        <v>81.3097711566598</v>
      </c>
      <c r="L291" s="13">
        <v>8.35585728037204</v>
      </c>
      <c r="M291" s="9">
        <v>0.137199122821031</v>
      </c>
      <c r="O291" s="1">
        <v>50</v>
      </c>
      <c r="P291" s="1">
        <v>6.8</v>
      </c>
      <c r="Q291" s="1">
        <v>4.5</v>
      </c>
      <c r="R291" s="1">
        <v>0</v>
      </c>
      <c r="S291" s="2">
        <v>2</v>
      </c>
      <c r="T291" s="1">
        <v>22.5</v>
      </c>
      <c r="U291" s="17">
        <v>0.920818198615511</v>
      </c>
      <c r="V291" s="4">
        <v>36.9</v>
      </c>
      <c r="W291" s="1">
        <v>21.3</v>
      </c>
      <c r="X291" s="13">
        <v>81.3097711566598</v>
      </c>
      <c r="Y291" s="9">
        <v>8.35585728037204</v>
      </c>
      <c r="Z291" s="3">
        <v>0.137199122821031</v>
      </c>
    </row>
    <row r="292" spans="2:26">
      <c r="B292" s="1">
        <v>55</v>
      </c>
      <c r="C292" s="1">
        <v>6.8</v>
      </c>
      <c r="D292" s="1">
        <v>4.5</v>
      </c>
      <c r="E292" s="1">
        <v>0</v>
      </c>
      <c r="F292" s="2">
        <v>2</v>
      </c>
      <c r="G292" s="1">
        <v>22.5</v>
      </c>
      <c r="H292" s="3">
        <v>0.89760467536325</v>
      </c>
      <c r="I292" s="4">
        <v>40.5</v>
      </c>
      <c r="J292" s="1">
        <v>25.5</v>
      </c>
      <c r="K292" s="4">
        <v>102.293084416845</v>
      </c>
      <c r="L292" s="13">
        <v>8.78289918923881</v>
      </c>
      <c r="M292" s="9">
        <v>0.118634432040995</v>
      </c>
      <c r="O292" s="1">
        <v>55</v>
      </c>
      <c r="P292" s="1">
        <v>6.8</v>
      </c>
      <c r="Q292" s="1">
        <v>4.5</v>
      </c>
      <c r="R292" s="1">
        <v>0</v>
      </c>
      <c r="S292" s="2">
        <v>2</v>
      </c>
      <c r="T292" s="1">
        <v>22.5</v>
      </c>
      <c r="U292" s="17">
        <v>0.89760467536325</v>
      </c>
      <c r="V292" s="4">
        <v>40.5</v>
      </c>
      <c r="W292" s="1">
        <v>25.5</v>
      </c>
      <c r="X292" s="13">
        <v>102.293084416845</v>
      </c>
      <c r="Y292" s="9">
        <v>8.78289918923881</v>
      </c>
      <c r="Z292" s="3">
        <v>0.118634432040995</v>
      </c>
    </row>
    <row r="293" spans="2:26">
      <c r="B293" s="1">
        <v>60</v>
      </c>
      <c r="C293" s="1">
        <v>6.8</v>
      </c>
      <c r="D293" s="1">
        <v>4.5</v>
      </c>
      <c r="E293" s="1">
        <v>0</v>
      </c>
      <c r="F293" s="2">
        <v>2</v>
      </c>
      <c r="G293" s="1">
        <v>22.5</v>
      </c>
      <c r="H293" s="3">
        <v>0.868253123396246</v>
      </c>
      <c r="I293" s="4">
        <v>45.9</v>
      </c>
      <c r="J293" s="1">
        <v>28.7</v>
      </c>
      <c r="K293" s="4">
        <v>119.902148275979</v>
      </c>
      <c r="L293" s="13">
        <v>8.0316725106598</v>
      </c>
      <c r="M293" s="9">
        <v>0.101831922535789</v>
      </c>
      <c r="O293" s="1">
        <v>60</v>
      </c>
      <c r="P293" s="1">
        <v>6.8</v>
      </c>
      <c r="Q293" s="1">
        <v>4.5</v>
      </c>
      <c r="R293" s="1">
        <v>0</v>
      </c>
      <c r="S293" s="2">
        <v>2</v>
      </c>
      <c r="T293" s="1">
        <v>22.5</v>
      </c>
      <c r="U293" s="17">
        <v>0.868253123396246</v>
      </c>
      <c r="V293" s="4">
        <v>45.9</v>
      </c>
      <c r="W293" s="1">
        <v>28.7</v>
      </c>
      <c r="X293" s="13">
        <v>119.902148275979</v>
      </c>
      <c r="Y293" s="9">
        <v>8.0316725106598</v>
      </c>
      <c r="Z293" s="3">
        <v>0.101831922535789</v>
      </c>
    </row>
    <row r="294" spans="2:26">
      <c r="B294" s="1">
        <v>65</v>
      </c>
      <c r="C294" s="1">
        <v>6.8</v>
      </c>
      <c r="D294" s="1">
        <v>4.5</v>
      </c>
      <c r="E294" s="1">
        <v>0</v>
      </c>
      <c r="F294" s="2">
        <v>2</v>
      </c>
      <c r="G294" s="1">
        <v>22.5</v>
      </c>
      <c r="H294" s="3">
        <v>0.831152647810126</v>
      </c>
      <c r="I294" s="4">
        <v>50.6</v>
      </c>
      <c r="J294" s="1">
        <v>33.1</v>
      </c>
      <c r="K294" s="4">
        <v>146.055296919188</v>
      </c>
      <c r="L294" s="13">
        <v>8.55290358018111</v>
      </c>
      <c r="M294" s="9">
        <v>0.0900987055402792</v>
      </c>
      <c r="O294" s="1">
        <v>65</v>
      </c>
      <c r="P294" s="1">
        <v>6.8</v>
      </c>
      <c r="Q294" s="1">
        <v>4.5</v>
      </c>
      <c r="R294" s="1">
        <v>0</v>
      </c>
      <c r="S294" s="2">
        <v>2</v>
      </c>
      <c r="T294" s="1">
        <v>22.5</v>
      </c>
      <c r="U294" s="17">
        <v>0.831152647810126</v>
      </c>
      <c r="V294" s="4">
        <v>50.6</v>
      </c>
      <c r="W294" s="1">
        <v>33.1</v>
      </c>
      <c r="X294" s="13">
        <v>146.055296919188</v>
      </c>
      <c r="Y294" s="9">
        <v>8.55290358018111</v>
      </c>
      <c r="Z294" s="3">
        <v>0.0900987055402792</v>
      </c>
    </row>
    <row r="295" spans="2:26">
      <c r="B295" s="1">
        <v>70</v>
      </c>
      <c r="C295" s="1">
        <v>6.8</v>
      </c>
      <c r="D295" s="1">
        <v>4.5</v>
      </c>
      <c r="E295" s="1">
        <v>0</v>
      </c>
      <c r="F295" s="2">
        <v>2</v>
      </c>
      <c r="G295" s="1">
        <v>22.5</v>
      </c>
      <c r="H295" s="3">
        <v>0.784179277129304</v>
      </c>
      <c r="I295" s="4">
        <v>56.2</v>
      </c>
      <c r="J295" s="1">
        <v>38.2</v>
      </c>
      <c r="K295" s="4">
        <v>173.941525864547</v>
      </c>
      <c r="L295" s="13">
        <v>9.17814891769443</v>
      </c>
      <c r="M295" s="9">
        <v>0.0845413589329077</v>
      </c>
      <c r="O295" s="1">
        <v>70</v>
      </c>
      <c r="P295" s="1">
        <v>6.8</v>
      </c>
      <c r="Q295" s="1">
        <v>4.5</v>
      </c>
      <c r="R295" s="1">
        <v>0</v>
      </c>
      <c r="S295" s="2">
        <v>2</v>
      </c>
      <c r="T295" s="1">
        <v>22.5</v>
      </c>
      <c r="U295" s="17">
        <v>0.784179277129304</v>
      </c>
      <c r="V295" s="4">
        <v>56.2</v>
      </c>
      <c r="W295" s="1">
        <v>38.2</v>
      </c>
      <c r="X295" s="13">
        <v>173.941525864547</v>
      </c>
      <c r="Y295" s="9">
        <v>9.17814891769443</v>
      </c>
      <c r="Z295" s="3">
        <v>0.0845413589329077</v>
      </c>
    </row>
    <row r="296" spans="2:26">
      <c r="B296" s="1">
        <v>45</v>
      </c>
      <c r="C296" s="1">
        <v>8</v>
      </c>
      <c r="D296" s="1">
        <v>4.5</v>
      </c>
      <c r="E296" s="1">
        <v>0</v>
      </c>
      <c r="F296" s="2">
        <v>2</v>
      </c>
      <c r="G296" s="1">
        <v>22.5</v>
      </c>
      <c r="H296" s="3">
        <v>0.93913980595102</v>
      </c>
      <c r="I296" s="4">
        <v>34.5</v>
      </c>
      <c r="J296" s="1">
        <v>20</v>
      </c>
      <c r="K296" s="4">
        <v>69.1744379577931</v>
      </c>
      <c r="L296" s="13">
        <v>11.421907841404</v>
      </c>
      <c r="M296" s="9">
        <v>0.140846183915001</v>
      </c>
      <c r="O296" s="1">
        <v>45</v>
      </c>
      <c r="P296" s="1">
        <v>8</v>
      </c>
      <c r="Q296" s="1">
        <v>4.5</v>
      </c>
      <c r="R296" s="1">
        <v>0</v>
      </c>
      <c r="S296" s="2">
        <v>2</v>
      </c>
      <c r="T296" s="1">
        <v>22.5</v>
      </c>
      <c r="U296" s="17">
        <v>0.93913980595102</v>
      </c>
      <c r="V296" s="4">
        <v>34.5</v>
      </c>
      <c r="W296" s="1">
        <v>20</v>
      </c>
      <c r="X296" s="13">
        <v>69.1744379577931</v>
      </c>
      <c r="Y296" s="9">
        <v>11.421907841404</v>
      </c>
      <c r="Z296" s="3">
        <v>0.140846183915001</v>
      </c>
    </row>
    <row r="297" spans="2:26">
      <c r="B297" s="1">
        <v>50</v>
      </c>
      <c r="C297" s="1">
        <v>8</v>
      </c>
      <c r="D297" s="1">
        <v>4.5</v>
      </c>
      <c r="E297" s="1">
        <v>0</v>
      </c>
      <c r="F297" s="2">
        <v>2</v>
      </c>
      <c r="G297" s="1">
        <v>22.5</v>
      </c>
      <c r="H297" s="3">
        <v>0.920818198615511</v>
      </c>
      <c r="I297" s="4">
        <v>37.6</v>
      </c>
      <c r="J297" s="1">
        <v>23.7</v>
      </c>
      <c r="K297" s="4">
        <v>90.114013416124</v>
      </c>
      <c r="L297" s="13">
        <v>11.0026313740972</v>
      </c>
      <c r="M297" s="9">
        <v>0.120642619357427</v>
      </c>
      <c r="O297" s="1">
        <v>50</v>
      </c>
      <c r="P297" s="1">
        <v>8</v>
      </c>
      <c r="Q297" s="1">
        <v>4.5</v>
      </c>
      <c r="R297" s="1">
        <v>0</v>
      </c>
      <c r="S297" s="2">
        <v>2</v>
      </c>
      <c r="T297" s="1">
        <v>22.5</v>
      </c>
      <c r="U297" s="17">
        <v>0.920818198615511</v>
      </c>
      <c r="V297" s="4">
        <v>37.6</v>
      </c>
      <c r="W297" s="1">
        <v>23.7</v>
      </c>
      <c r="X297" s="13">
        <v>90.114013416124</v>
      </c>
      <c r="Y297" s="9">
        <v>11.0026313740972</v>
      </c>
      <c r="Z297" s="3">
        <v>0.120642619357427</v>
      </c>
    </row>
    <row r="298" spans="2:26">
      <c r="B298" s="1">
        <v>55</v>
      </c>
      <c r="C298" s="1">
        <v>8</v>
      </c>
      <c r="D298" s="1">
        <v>4.5</v>
      </c>
      <c r="E298" s="1">
        <v>0</v>
      </c>
      <c r="F298" s="2">
        <v>2</v>
      </c>
      <c r="G298" s="1">
        <v>22.4</v>
      </c>
      <c r="H298" s="3">
        <v>0.89760467536325</v>
      </c>
      <c r="I298" s="4">
        <v>41.2</v>
      </c>
      <c r="J298" s="1">
        <v>26.6</v>
      </c>
      <c r="K298" s="4">
        <v>113.922246761353</v>
      </c>
      <c r="L298" s="13">
        <v>10.1648673357458</v>
      </c>
      <c r="M298" s="9">
        <v>0.102538110906155</v>
      </c>
      <c r="O298" s="1">
        <v>55</v>
      </c>
      <c r="P298" s="1">
        <v>8</v>
      </c>
      <c r="Q298" s="1">
        <v>4.5</v>
      </c>
      <c r="R298" s="1">
        <v>0</v>
      </c>
      <c r="S298" s="2">
        <v>2</v>
      </c>
      <c r="T298" s="1">
        <v>22.4</v>
      </c>
      <c r="U298" s="17">
        <v>0.89760467536325</v>
      </c>
      <c r="V298" s="4">
        <v>41.2</v>
      </c>
      <c r="W298" s="1">
        <v>26.6</v>
      </c>
      <c r="X298" s="13">
        <v>113.922246761353</v>
      </c>
      <c r="Y298" s="9">
        <v>10.1648673357458</v>
      </c>
      <c r="Z298" s="3">
        <v>0.102538110906155</v>
      </c>
    </row>
    <row r="299" spans="2:26">
      <c r="B299" s="1">
        <v>60</v>
      </c>
      <c r="C299" s="1">
        <v>8</v>
      </c>
      <c r="D299" s="1">
        <v>4.5</v>
      </c>
      <c r="E299" s="1">
        <v>0</v>
      </c>
      <c r="F299" s="2">
        <v>2</v>
      </c>
      <c r="G299" s="1">
        <v>22.4</v>
      </c>
      <c r="H299" s="3">
        <v>0.868253123396246</v>
      </c>
      <c r="I299" s="4">
        <v>46</v>
      </c>
      <c r="J299" s="1">
        <v>29.2</v>
      </c>
      <c r="K299" s="4">
        <v>137.141926610856</v>
      </c>
      <c r="L299" s="13">
        <v>9.32037290564244</v>
      </c>
      <c r="M299" s="9">
        <v>0.0872944161267133</v>
      </c>
      <c r="O299" s="1">
        <v>60</v>
      </c>
      <c r="P299" s="1">
        <v>8</v>
      </c>
      <c r="Q299" s="1">
        <v>4.5</v>
      </c>
      <c r="R299" s="1">
        <v>0</v>
      </c>
      <c r="S299" s="2">
        <v>2</v>
      </c>
      <c r="T299" s="1">
        <v>22.4</v>
      </c>
      <c r="U299" s="17">
        <v>0.868253123396246</v>
      </c>
      <c r="V299" s="4">
        <v>46</v>
      </c>
      <c r="W299" s="1">
        <v>29.2</v>
      </c>
      <c r="X299" s="13">
        <v>137.141926610856</v>
      </c>
      <c r="Y299" s="9">
        <v>9.32037290564244</v>
      </c>
      <c r="Z299" s="3">
        <v>0.0872944161267133</v>
      </c>
    </row>
    <row r="300" spans="2:26">
      <c r="B300" s="1">
        <v>65</v>
      </c>
      <c r="C300" s="1">
        <v>8</v>
      </c>
      <c r="D300" s="1">
        <v>4.5</v>
      </c>
      <c r="E300" s="1">
        <v>0</v>
      </c>
      <c r="F300" s="2">
        <v>2</v>
      </c>
      <c r="G300" s="1">
        <v>22.4</v>
      </c>
      <c r="H300" s="3">
        <v>0.831152647810126</v>
      </c>
      <c r="I300" s="4">
        <v>51.6</v>
      </c>
      <c r="J300" s="1">
        <v>33.6</v>
      </c>
      <c r="K300" s="4">
        <v>161.309846402831</v>
      </c>
      <c r="L300" s="13">
        <v>9.39864738354628</v>
      </c>
      <c r="M300" s="9">
        <v>0.0774848338521396</v>
      </c>
      <c r="O300" s="1">
        <v>65</v>
      </c>
      <c r="P300" s="1">
        <v>8</v>
      </c>
      <c r="Q300" s="1">
        <v>4.5</v>
      </c>
      <c r="R300" s="1">
        <v>0</v>
      </c>
      <c r="S300" s="2">
        <v>2</v>
      </c>
      <c r="T300" s="1">
        <v>22.4</v>
      </c>
      <c r="U300" s="17">
        <v>0.831152647810126</v>
      </c>
      <c r="V300" s="4">
        <v>51.6</v>
      </c>
      <c r="W300" s="1">
        <v>33.6</v>
      </c>
      <c r="X300" s="13">
        <v>161.309846402831</v>
      </c>
      <c r="Y300" s="9">
        <v>9.39864738354628</v>
      </c>
      <c r="Z300" s="3">
        <v>0.0774848338521396</v>
      </c>
    </row>
    <row r="301" spans="2:26">
      <c r="B301" s="1">
        <v>70</v>
      </c>
      <c r="C301" s="1">
        <v>8</v>
      </c>
      <c r="D301" s="1">
        <v>4.5</v>
      </c>
      <c r="E301" s="1">
        <v>0</v>
      </c>
      <c r="F301" s="2">
        <v>2</v>
      </c>
      <c r="G301" s="1">
        <v>22.4</v>
      </c>
      <c r="H301" s="3">
        <v>0.784179277129304</v>
      </c>
      <c r="I301" s="4">
        <v>57</v>
      </c>
      <c r="J301" s="1">
        <v>38.6</v>
      </c>
      <c r="K301" s="4">
        <v>193.838029471461</v>
      </c>
      <c r="L301" s="13">
        <v>10.1964035972378</v>
      </c>
      <c r="M301" s="9">
        <v>0.0727842499565102</v>
      </c>
      <c r="O301" s="1">
        <v>70</v>
      </c>
      <c r="P301" s="1">
        <v>8</v>
      </c>
      <c r="Q301" s="1">
        <v>4.5</v>
      </c>
      <c r="R301" s="1">
        <v>0</v>
      </c>
      <c r="S301" s="2">
        <v>2</v>
      </c>
      <c r="T301" s="1">
        <v>22.4</v>
      </c>
      <c r="U301" s="17">
        <v>0.784179277129304</v>
      </c>
      <c r="V301" s="4">
        <v>57</v>
      </c>
      <c r="W301" s="1">
        <v>38.6</v>
      </c>
      <c r="X301" s="13">
        <v>193.838029471461</v>
      </c>
      <c r="Y301" s="9">
        <v>10.1964035972378</v>
      </c>
      <c r="Z301" s="3">
        <v>0.0727842499565102</v>
      </c>
    </row>
    <row r="302" spans="2:26">
      <c r="B302" s="1">
        <v>45</v>
      </c>
      <c r="C302" s="1">
        <v>4.5</v>
      </c>
      <c r="D302" s="1">
        <v>6.5</v>
      </c>
      <c r="E302" s="1">
        <v>0</v>
      </c>
      <c r="F302" s="2">
        <v>2</v>
      </c>
      <c r="G302" s="1">
        <v>22.1</v>
      </c>
      <c r="H302" s="3">
        <v>0.93913980595102</v>
      </c>
      <c r="I302" s="4">
        <v>27.6</v>
      </c>
      <c r="J302" s="1">
        <v>13.5</v>
      </c>
      <c r="K302" s="4">
        <v>64.6079760316695</v>
      </c>
      <c r="L302" s="13">
        <v>8.87881897828108</v>
      </c>
      <c r="M302" s="9">
        <v>0.316518619878327</v>
      </c>
      <c r="O302" s="1">
        <v>45</v>
      </c>
      <c r="P302" s="1">
        <v>4.5</v>
      </c>
      <c r="Q302" s="1">
        <v>6.5</v>
      </c>
      <c r="R302" s="1">
        <v>0</v>
      </c>
      <c r="S302" s="2">
        <v>2</v>
      </c>
      <c r="T302" s="1">
        <v>22.1</v>
      </c>
      <c r="U302" s="17">
        <v>0.93913980595102</v>
      </c>
      <c r="V302" s="4">
        <v>27.6</v>
      </c>
      <c r="W302" s="1">
        <v>13.5</v>
      </c>
      <c r="X302" s="13">
        <v>64.6079760316695</v>
      </c>
      <c r="Y302" s="9">
        <v>8.87881897828108</v>
      </c>
      <c r="Z302" s="3">
        <v>0.316518619878327</v>
      </c>
    </row>
    <row r="303" spans="2:26">
      <c r="B303" s="1">
        <v>50</v>
      </c>
      <c r="C303" s="1">
        <v>4.5</v>
      </c>
      <c r="D303" s="1">
        <v>6.5</v>
      </c>
      <c r="E303" s="1">
        <v>0</v>
      </c>
      <c r="F303" s="2">
        <v>2</v>
      </c>
      <c r="G303" s="1">
        <v>22.1</v>
      </c>
      <c r="H303" s="3">
        <v>0.920818198615511</v>
      </c>
      <c r="I303" s="4">
        <v>32</v>
      </c>
      <c r="J303" s="1">
        <v>17.5</v>
      </c>
      <c r="K303" s="4">
        <v>76.9105046137101</v>
      </c>
      <c r="L303" s="13">
        <v>7.57892248391701</v>
      </c>
      <c r="M303" s="9">
        <v>0.28115064925168</v>
      </c>
      <c r="O303" s="1">
        <v>50</v>
      </c>
      <c r="P303" s="1">
        <v>4.5</v>
      </c>
      <c r="Q303" s="1">
        <v>6.5</v>
      </c>
      <c r="R303" s="1">
        <v>0</v>
      </c>
      <c r="S303" s="2">
        <v>2</v>
      </c>
      <c r="T303" s="1">
        <v>22.1</v>
      </c>
      <c r="U303" s="17">
        <v>0.920818198615511</v>
      </c>
      <c r="V303" s="4">
        <v>32</v>
      </c>
      <c r="W303" s="1">
        <v>17.5</v>
      </c>
      <c r="X303" s="13">
        <v>76.9105046137101</v>
      </c>
      <c r="Y303" s="9">
        <v>7.57892248391701</v>
      </c>
      <c r="Z303" s="3">
        <v>0.28115064925168</v>
      </c>
    </row>
    <row r="304" spans="2:26">
      <c r="B304" s="1">
        <v>55</v>
      </c>
      <c r="C304" s="1">
        <v>4.5</v>
      </c>
      <c r="D304" s="1">
        <v>6.5</v>
      </c>
      <c r="E304" s="1">
        <v>0</v>
      </c>
      <c r="F304" s="2">
        <v>2</v>
      </c>
      <c r="G304" s="1">
        <v>22.1</v>
      </c>
      <c r="H304" s="3">
        <v>0.89760467536325</v>
      </c>
      <c r="I304" s="4">
        <v>36.9</v>
      </c>
      <c r="J304" s="1">
        <v>22.9</v>
      </c>
      <c r="K304" s="4">
        <v>90.7667109473221</v>
      </c>
      <c r="L304" s="13">
        <v>7.41341059590646</v>
      </c>
      <c r="M304" s="9">
        <v>0.250850402157053</v>
      </c>
      <c r="O304" s="1">
        <v>55</v>
      </c>
      <c r="P304" s="1">
        <v>4.5</v>
      </c>
      <c r="Q304" s="1">
        <v>6.5</v>
      </c>
      <c r="R304" s="1">
        <v>0</v>
      </c>
      <c r="S304" s="2">
        <v>2</v>
      </c>
      <c r="T304" s="1">
        <v>22.1</v>
      </c>
      <c r="U304" s="17">
        <v>0.89760467536325</v>
      </c>
      <c r="V304" s="4">
        <v>36.9</v>
      </c>
      <c r="W304" s="1">
        <v>22.9</v>
      </c>
      <c r="X304" s="13">
        <v>90.7667109473221</v>
      </c>
      <c r="Y304" s="9">
        <v>7.41341059590646</v>
      </c>
      <c r="Z304" s="3">
        <v>0.250850402157053</v>
      </c>
    </row>
    <row r="305" spans="2:26">
      <c r="B305" s="1">
        <v>60</v>
      </c>
      <c r="C305" s="1">
        <v>4.5</v>
      </c>
      <c r="D305" s="1">
        <v>6.5</v>
      </c>
      <c r="E305" s="1">
        <v>0</v>
      </c>
      <c r="F305" s="2">
        <v>2</v>
      </c>
      <c r="G305" s="1">
        <v>22.1</v>
      </c>
      <c r="H305" s="3">
        <v>0.868253123396246</v>
      </c>
      <c r="I305" s="4">
        <v>40</v>
      </c>
      <c r="J305" s="1">
        <v>26.9</v>
      </c>
      <c r="K305" s="4">
        <v>111.264409363747</v>
      </c>
      <c r="L305" s="13">
        <v>7.85148495695271</v>
      </c>
      <c r="M305" s="9">
        <v>0.216718861169602</v>
      </c>
      <c r="O305" s="1">
        <v>60</v>
      </c>
      <c r="P305" s="1">
        <v>4.5</v>
      </c>
      <c r="Q305" s="1">
        <v>6.5</v>
      </c>
      <c r="R305" s="1">
        <v>0</v>
      </c>
      <c r="S305" s="2">
        <v>2</v>
      </c>
      <c r="T305" s="1">
        <v>22.1</v>
      </c>
      <c r="U305" s="17">
        <v>0.868253123396246</v>
      </c>
      <c r="V305" s="4">
        <v>40</v>
      </c>
      <c r="W305" s="1">
        <v>26.9</v>
      </c>
      <c r="X305" s="13">
        <v>111.264409363747</v>
      </c>
      <c r="Y305" s="9">
        <v>7.85148495695271</v>
      </c>
      <c r="Z305" s="3">
        <v>0.216718861169602</v>
      </c>
    </row>
    <row r="306" spans="2:26">
      <c r="B306" s="1">
        <v>65</v>
      </c>
      <c r="C306" s="1">
        <v>4.5</v>
      </c>
      <c r="D306" s="1">
        <v>6.5</v>
      </c>
      <c r="E306" s="1">
        <v>0</v>
      </c>
      <c r="F306" s="2">
        <v>2</v>
      </c>
      <c r="G306" s="1">
        <v>22.1</v>
      </c>
      <c r="H306" s="3">
        <v>0.831152647810126</v>
      </c>
      <c r="I306" s="4">
        <v>44.2</v>
      </c>
      <c r="J306" s="1">
        <v>29.5</v>
      </c>
      <c r="K306" s="4">
        <v>132.975355986879</v>
      </c>
      <c r="L306" s="13">
        <v>7.64719723497</v>
      </c>
      <c r="M306" s="9">
        <v>0.185131749990209</v>
      </c>
      <c r="O306" s="1">
        <v>65</v>
      </c>
      <c r="P306" s="1">
        <v>4.5</v>
      </c>
      <c r="Q306" s="1">
        <v>6.5</v>
      </c>
      <c r="R306" s="1">
        <v>0</v>
      </c>
      <c r="S306" s="2">
        <v>2</v>
      </c>
      <c r="T306" s="1">
        <v>22.1</v>
      </c>
      <c r="U306" s="17">
        <v>0.831152647810126</v>
      </c>
      <c r="V306" s="4">
        <v>44.2</v>
      </c>
      <c r="W306" s="1">
        <v>29.5</v>
      </c>
      <c r="X306" s="13">
        <v>132.975355986879</v>
      </c>
      <c r="Y306" s="9">
        <v>7.64719723497</v>
      </c>
      <c r="Z306" s="3">
        <v>0.185131749990209</v>
      </c>
    </row>
    <row r="307" spans="2:26">
      <c r="B307" s="1">
        <v>70</v>
      </c>
      <c r="C307" s="1">
        <v>4.5</v>
      </c>
      <c r="D307" s="1">
        <v>6.5</v>
      </c>
      <c r="E307" s="1">
        <v>0</v>
      </c>
      <c r="F307" s="2">
        <v>2</v>
      </c>
      <c r="G307" s="1">
        <v>22.1</v>
      </c>
      <c r="H307" s="3">
        <v>0.784179277129304</v>
      </c>
      <c r="I307" s="4">
        <v>51.6</v>
      </c>
      <c r="J307" s="1">
        <v>31.1</v>
      </c>
      <c r="K307" s="4">
        <v>148.427670978151</v>
      </c>
      <c r="L307" s="13">
        <v>6.58003680416499</v>
      </c>
      <c r="M307" s="9">
        <v>0.157901549148289</v>
      </c>
      <c r="O307" s="1">
        <v>70</v>
      </c>
      <c r="P307" s="1">
        <v>4.5</v>
      </c>
      <c r="Q307" s="1">
        <v>6.5</v>
      </c>
      <c r="R307" s="1">
        <v>0</v>
      </c>
      <c r="S307" s="2">
        <v>2</v>
      </c>
      <c r="T307" s="1">
        <v>22.1</v>
      </c>
      <c r="U307" s="17">
        <v>0.784179277129304</v>
      </c>
      <c r="V307" s="4">
        <v>51.6</v>
      </c>
      <c r="W307" s="1">
        <v>31.1</v>
      </c>
      <c r="X307" s="13">
        <v>148.427670978151</v>
      </c>
      <c r="Y307" s="9">
        <v>6.58003680416499</v>
      </c>
      <c r="Z307" s="3">
        <v>0.157901549148289</v>
      </c>
    </row>
    <row r="308" spans="2:26">
      <c r="B308" s="1">
        <v>45</v>
      </c>
      <c r="C308" s="1">
        <v>5.6</v>
      </c>
      <c r="D308" s="1">
        <v>6.5</v>
      </c>
      <c r="E308" s="1">
        <v>0</v>
      </c>
      <c r="F308" s="2">
        <v>2</v>
      </c>
      <c r="G308" s="1">
        <v>22.1</v>
      </c>
      <c r="H308" s="3">
        <v>0.93913980595102</v>
      </c>
      <c r="I308" s="4">
        <v>28.8</v>
      </c>
      <c r="J308" s="1">
        <v>17.7</v>
      </c>
      <c r="K308" s="4">
        <v>74.4996094013496</v>
      </c>
      <c r="L308" s="13">
        <v>12.5878960756747</v>
      </c>
      <c r="M308" s="9">
        <v>0.278884980971979</v>
      </c>
      <c r="O308" s="1">
        <v>45</v>
      </c>
      <c r="P308" s="1">
        <v>5.6</v>
      </c>
      <c r="Q308" s="1">
        <v>6.5</v>
      </c>
      <c r="R308" s="1">
        <v>0</v>
      </c>
      <c r="S308" s="2">
        <v>2</v>
      </c>
      <c r="T308" s="1">
        <v>22.1</v>
      </c>
      <c r="U308" s="17">
        <v>0.93913980595102</v>
      </c>
      <c r="V308" s="4">
        <v>28.8</v>
      </c>
      <c r="W308" s="1">
        <v>17.7</v>
      </c>
      <c r="X308" s="13">
        <v>74.4996094013496</v>
      </c>
      <c r="Y308" s="9">
        <v>12.5878960756747</v>
      </c>
      <c r="Z308" s="3">
        <v>0.278884980971979</v>
      </c>
    </row>
    <row r="309" spans="2:26">
      <c r="B309" s="1">
        <v>50</v>
      </c>
      <c r="C309" s="1">
        <v>5.6</v>
      </c>
      <c r="D309" s="1">
        <v>6.5</v>
      </c>
      <c r="E309" s="1">
        <v>0</v>
      </c>
      <c r="F309" s="2">
        <v>2</v>
      </c>
      <c r="G309" s="1">
        <v>22.1</v>
      </c>
      <c r="H309" s="3">
        <v>0.920818198615511</v>
      </c>
      <c r="I309" s="4">
        <v>32.8</v>
      </c>
      <c r="J309" s="1">
        <v>21.5</v>
      </c>
      <c r="K309" s="4">
        <v>89.4174775677747</v>
      </c>
      <c r="L309" s="13">
        <v>10.6873796907528</v>
      </c>
      <c r="M309" s="9">
        <v>0.241525499744012</v>
      </c>
      <c r="O309" s="1">
        <v>50</v>
      </c>
      <c r="P309" s="1">
        <v>5.6</v>
      </c>
      <c r="Q309" s="1">
        <v>6.5</v>
      </c>
      <c r="R309" s="1">
        <v>0</v>
      </c>
      <c r="S309" s="2">
        <v>2</v>
      </c>
      <c r="T309" s="1">
        <v>22.1</v>
      </c>
      <c r="U309" s="17">
        <v>0.920818198615511</v>
      </c>
      <c r="V309" s="4">
        <v>32.8</v>
      </c>
      <c r="W309" s="1">
        <v>21.5</v>
      </c>
      <c r="X309" s="13">
        <v>89.4174775677747</v>
      </c>
      <c r="Y309" s="9">
        <v>10.6873796907528</v>
      </c>
      <c r="Z309" s="3">
        <v>0.241525499744012</v>
      </c>
    </row>
    <row r="310" spans="2:26">
      <c r="B310" s="1">
        <v>55</v>
      </c>
      <c r="C310" s="1">
        <v>5.6</v>
      </c>
      <c r="D310" s="1">
        <v>6.5</v>
      </c>
      <c r="E310" s="1">
        <v>0</v>
      </c>
      <c r="F310" s="2">
        <v>2</v>
      </c>
      <c r="G310" s="1">
        <v>22.1</v>
      </c>
      <c r="H310" s="3">
        <v>0.89760467536325</v>
      </c>
      <c r="I310" s="4">
        <v>37.6</v>
      </c>
      <c r="J310" s="1">
        <v>24.4</v>
      </c>
      <c r="K310" s="4">
        <v>104.912228077396</v>
      </c>
      <c r="L310" s="13">
        <v>9.00407489546537</v>
      </c>
      <c r="M310" s="9">
        <v>0.205791664435466</v>
      </c>
      <c r="O310" s="1">
        <v>55</v>
      </c>
      <c r="P310" s="1">
        <v>5.6</v>
      </c>
      <c r="Q310" s="1">
        <v>6.5</v>
      </c>
      <c r="R310" s="1">
        <v>0</v>
      </c>
      <c r="S310" s="2">
        <v>2</v>
      </c>
      <c r="T310" s="1">
        <v>22.1</v>
      </c>
      <c r="U310" s="17">
        <v>0.89760467536325</v>
      </c>
      <c r="V310" s="4">
        <v>37.6</v>
      </c>
      <c r="W310" s="1">
        <v>24.4</v>
      </c>
      <c r="X310" s="13">
        <v>104.912228077396</v>
      </c>
      <c r="Y310" s="9">
        <v>9.00407489546537</v>
      </c>
      <c r="Z310" s="3">
        <v>0.205791664435466</v>
      </c>
    </row>
    <row r="311" spans="2:26">
      <c r="B311" s="1">
        <v>60</v>
      </c>
      <c r="C311" s="1">
        <v>5.6</v>
      </c>
      <c r="D311" s="1">
        <v>6.5</v>
      </c>
      <c r="E311" s="1">
        <v>0</v>
      </c>
      <c r="F311" s="2">
        <v>2</v>
      </c>
      <c r="G311" s="1">
        <v>22.1</v>
      </c>
      <c r="H311" s="3">
        <v>0.868253123396246</v>
      </c>
      <c r="I311" s="4">
        <v>41.5</v>
      </c>
      <c r="J311" s="1">
        <v>28.5</v>
      </c>
      <c r="K311" s="4">
        <v>127.316452039458</v>
      </c>
      <c r="L311" s="13">
        <v>9.22488384110549</v>
      </c>
      <c r="M311" s="9">
        <v>0.178108438005402</v>
      </c>
      <c r="O311" s="1">
        <v>60</v>
      </c>
      <c r="P311" s="1">
        <v>5.6</v>
      </c>
      <c r="Q311" s="1">
        <v>6.5</v>
      </c>
      <c r="R311" s="1">
        <v>0</v>
      </c>
      <c r="S311" s="2">
        <v>2</v>
      </c>
      <c r="T311" s="1">
        <v>22.1</v>
      </c>
      <c r="U311" s="17">
        <v>0.868253123396246</v>
      </c>
      <c r="V311" s="4">
        <v>41.5</v>
      </c>
      <c r="W311" s="1">
        <v>28.5</v>
      </c>
      <c r="X311" s="13">
        <v>127.316452039458</v>
      </c>
      <c r="Y311" s="9">
        <v>9.22488384110549</v>
      </c>
      <c r="Z311" s="3">
        <v>0.178108438005402</v>
      </c>
    </row>
    <row r="312" spans="2:26">
      <c r="B312" s="1">
        <v>65</v>
      </c>
      <c r="C312" s="1">
        <v>5.6</v>
      </c>
      <c r="D312" s="1">
        <v>6.5</v>
      </c>
      <c r="E312" s="1">
        <v>0</v>
      </c>
      <c r="F312" s="2">
        <v>2</v>
      </c>
      <c r="G312" s="1">
        <v>22.1</v>
      </c>
      <c r="H312" s="3">
        <v>0.831152647810126</v>
      </c>
      <c r="I312" s="4">
        <v>46.2</v>
      </c>
      <c r="J312" s="1">
        <v>32.2</v>
      </c>
      <c r="K312" s="4">
        <v>152.093584524212</v>
      </c>
      <c r="L312" s="13">
        <v>9.21605512690989</v>
      </c>
      <c r="M312" s="9">
        <v>0.155229573110996</v>
      </c>
      <c r="O312" s="1">
        <v>65</v>
      </c>
      <c r="P312" s="1">
        <v>5.6</v>
      </c>
      <c r="Q312" s="1">
        <v>6.5</v>
      </c>
      <c r="R312" s="1">
        <v>0</v>
      </c>
      <c r="S312" s="2">
        <v>2</v>
      </c>
      <c r="T312" s="1">
        <v>22.1</v>
      </c>
      <c r="U312" s="17">
        <v>0.831152647810126</v>
      </c>
      <c r="V312" s="4">
        <v>46.2</v>
      </c>
      <c r="W312" s="1">
        <v>32.2</v>
      </c>
      <c r="X312" s="13">
        <v>152.093584524212</v>
      </c>
      <c r="Y312" s="9">
        <v>9.21605512690989</v>
      </c>
      <c r="Z312" s="3">
        <v>0.155229573110996</v>
      </c>
    </row>
    <row r="313" spans="2:26">
      <c r="B313" s="1">
        <v>70</v>
      </c>
      <c r="C313" s="1">
        <v>5.6</v>
      </c>
      <c r="D313" s="1">
        <v>6.5</v>
      </c>
      <c r="E313" s="1">
        <v>0</v>
      </c>
      <c r="F313" s="2">
        <v>2</v>
      </c>
      <c r="G313" s="1">
        <v>22</v>
      </c>
      <c r="H313" s="3">
        <v>0.784179277129304</v>
      </c>
      <c r="I313" s="4">
        <v>51.9</v>
      </c>
      <c r="J313" s="1">
        <v>36.2</v>
      </c>
      <c r="K313" s="4">
        <v>178.982109171785</v>
      </c>
      <c r="L313" s="13">
        <v>9.19393467955481</v>
      </c>
      <c r="M313" s="9">
        <v>0.139609751954205</v>
      </c>
      <c r="O313" s="1">
        <v>70</v>
      </c>
      <c r="P313" s="1">
        <v>5.6</v>
      </c>
      <c r="Q313" s="1">
        <v>6.5</v>
      </c>
      <c r="R313" s="1">
        <v>0</v>
      </c>
      <c r="S313" s="2">
        <v>2</v>
      </c>
      <c r="T313" s="1">
        <v>22</v>
      </c>
      <c r="U313" s="17">
        <v>0.784179277129304</v>
      </c>
      <c r="V313" s="4">
        <v>51.9</v>
      </c>
      <c r="W313" s="1">
        <v>36.2</v>
      </c>
      <c r="X313" s="13">
        <v>178.982109171785</v>
      </c>
      <c r="Y313" s="9">
        <v>9.19393467955481</v>
      </c>
      <c r="Z313" s="3">
        <v>0.139609751954205</v>
      </c>
    </row>
    <row r="314" spans="2:26">
      <c r="B314" s="1">
        <v>45</v>
      </c>
      <c r="C314" s="1">
        <v>6.8</v>
      </c>
      <c r="D314" s="1">
        <v>6.5</v>
      </c>
      <c r="E314" s="1">
        <v>0</v>
      </c>
      <c r="F314" s="2">
        <v>2</v>
      </c>
      <c r="G314" s="1">
        <v>22</v>
      </c>
      <c r="H314" s="3">
        <v>0.93913980595102</v>
      </c>
      <c r="I314" s="4">
        <v>31.2</v>
      </c>
      <c r="J314" s="1">
        <v>18.1</v>
      </c>
      <c r="K314" s="4">
        <v>78.8391743057429</v>
      </c>
      <c r="L314" s="13">
        <v>11.5502741744917</v>
      </c>
      <c r="M314" s="9">
        <v>0.232617166996061</v>
      </c>
      <c r="O314" s="1">
        <v>45</v>
      </c>
      <c r="P314" s="1">
        <v>6.8</v>
      </c>
      <c r="Q314" s="1">
        <v>6.5</v>
      </c>
      <c r="R314" s="1">
        <v>0</v>
      </c>
      <c r="S314" s="2">
        <v>2</v>
      </c>
      <c r="T314" s="1">
        <v>22</v>
      </c>
      <c r="U314" s="17">
        <v>0.93913980595102</v>
      </c>
      <c r="V314" s="4">
        <v>31.2</v>
      </c>
      <c r="W314" s="1">
        <v>18.1</v>
      </c>
      <c r="X314" s="13">
        <v>78.8391743057429</v>
      </c>
      <c r="Y314" s="9">
        <v>11.5502741744917</v>
      </c>
      <c r="Z314" s="3">
        <v>0.232617166996061</v>
      </c>
    </row>
    <row r="315" spans="2:26">
      <c r="B315" s="1">
        <v>50</v>
      </c>
      <c r="C315" s="1">
        <v>6.8</v>
      </c>
      <c r="D315" s="1">
        <v>6.5</v>
      </c>
      <c r="E315" s="1">
        <v>0</v>
      </c>
      <c r="F315" s="2">
        <v>2</v>
      </c>
      <c r="G315" s="1">
        <v>22</v>
      </c>
      <c r="H315" s="3">
        <v>0.920818198615511</v>
      </c>
      <c r="I315" s="4">
        <v>37.5</v>
      </c>
      <c r="J315" s="1">
        <v>21.8</v>
      </c>
      <c r="K315" s="4">
        <v>87.6014760323692</v>
      </c>
      <c r="L315" s="13">
        <v>8.63101296633933</v>
      </c>
      <c r="M315" s="9">
        <v>0.201612624523167</v>
      </c>
      <c r="O315" s="1">
        <v>50</v>
      </c>
      <c r="P315" s="1">
        <v>6.8</v>
      </c>
      <c r="Q315" s="1">
        <v>6.5</v>
      </c>
      <c r="R315" s="1">
        <v>0</v>
      </c>
      <c r="S315" s="2">
        <v>2</v>
      </c>
      <c r="T315" s="1">
        <v>22</v>
      </c>
      <c r="U315" s="17">
        <v>0.920818198615511</v>
      </c>
      <c r="V315" s="4">
        <v>37.5</v>
      </c>
      <c r="W315" s="1">
        <v>21.8</v>
      </c>
      <c r="X315" s="13">
        <v>87.6014760323692</v>
      </c>
      <c r="Y315" s="9">
        <v>8.63101296633933</v>
      </c>
      <c r="Z315" s="3">
        <v>0.201612624523167</v>
      </c>
    </row>
    <row r="316" spans="2:26">
      <c r="B316" s="1">
        <v>55</v>
      </c>
      <c r="C316" s="1">
        <v>6.8</v>
      </c>
      <c r="D316" s="1">
        <v>6.5</v>
      </c>
      <c r="E316" s="1">
        <v>0</v>
      </c>
      <c r="F316" s="2">
        <v>2</v>
      </c>
      <c r="G316" s="1">
        <v>22</v>
      </c>
      <c r="H316" s="3">
        <v>0.89760467536325</v>
      </c>
      <c r="I316" s="4">
        <v>40.6</v>
      </c>
      <c r="J316" s="1">
        <v>26.2</v>
      </c>
      <c r="K316" s="4">
        <v>110.864160117314</v>
      </c>
      <c r="L316" s="13">
        <v>9.45388458679472</v>
      </c>
      <c r="M316" s="9">
        <v>0.174464215832177</v>
      </c>
      <c r="O316" s="1">
        <v>55</v>
      </c>
      <c r="P316" s="1">
        <v>6.8</v>
      </c>
      <c r="Q316" s="1">
        <v>6.5</v>
      </c>
      <c r="R316" s="1">
        <v>0</v>
      </c>
      <c r="S316" s="2">
        <v>2</v>
      </c>
      <c r="T316" s="1">
        <v>22</v>
      </c>
      <c r="U316" s="17">
        <v>0.89760467536325</v>
      </c>
      <c r="V316" s="4">
        <v>40.6</v>
      </c>
      <c r="W316" s="1">
        <v>26.2</v>
      </c>
      <c r="X316" s="13">
        <v>110.864160117314</v>
      </c>
      <c r="Y316" s="9">
        <v>9.45388458679472</v>
      </c>
      <c r="Z316" s="3">
        <v>0.174464215832177</v>
      </c>
    </row>
    <row r="317" spans="2:26">
      <c r="B317" s="1">
        <v>60</v>
      </c>
      <c r="C317" s="1">
        <v>6.8</v>
      </c>
      <c r="D317" s="1">
        <v>6.5</v>
      </c>
      <c r="E317" s="1">
        <v>0</v>
      </c>
      <c r="F317" s="2">
        <v>2</v>
      </c>
      <c r="G317" s="1">
        <v>22</v>
      </c>
      <c r="H317" s="3">
        <v>0.868253123396246</v>
      </c>
      <c r="I317" s="4">
        <v>43.8</v>
      </c>
      <c r="J317" s="1">
        <v>29.4</v>
      </c>
      <c r="K317" s="4">
        <v>139.060955387193</v>
      </c>
      <c r="L317" s="13">
        <v>9.79903311103801</v>
      </c>
      <c r="M317" s="9">
        <v>0.149177380717029</v>
      </c>
      <c r="O317" s="1">
        <v>60</v>
      </c>
      <c r="P317" s="1">
        <v>6.8</v>
      </c>
      <c r="Q317" s="1">
        <v>6.5</v>
      </c>
      <c r="R317" s="1">
        <v>0</v>
      </c>
      <c r="S317" s="2">
        <v>2</v>
      </c>
      <c r="T317" s="1">
        <v>22</v>
      </c>
      <c r="U317" s="17">
        <v>0.868253123396246</v>
      </c>
      <c r="V317" s="4">
        <v>43.8</v>
      </c>
      <c r="W317" s="1">
        <v>29.4</v>
      </c>
      <c r="X317" s="13">
        <v>139.060955387193</v>
      </c>
      <c r="Y317" s="9">
        <v>9.79903311103801</v>
      </c>
      <c r="Z317" s="3">
        <v>0.149177380717029</v>
      </c>
    </row>
    <row r="318" spans="2:26">
      <c r="B318" s="1">
        <v>65</v>
      </c>
      <c r="C318" s="1">
        <v>6.8</v>
      </c>
      <c r="D318" s="1">
        <v>6.5</v>
      </c>
      <c r="E318" s="1">
        <v>0</v>
      </c>
      <c r="F318" s="2">
        <v>2</v>
      </c>
      <c r="G318" s="1">
        <v>22</v>
      </c>
      <c r="H318" s="3">
        <v>0.831152647810126</v>
      </c>
      <c r="I318" s="4">
        <v>47.9</v>
      </c>
      <c r="J318" s="1">
        <v>33.6</v>
      </c>
      <c r="K318" s="4">
        <v>170.607249120215</v>
      </c>
      <c r="L318" s="13">
        <v>10.4797651330462</v>
      </c>
      <c r="M318" s="9">
        <v>0.131396630829721</v>
      </c>
      <c r="O318" s="1">
        <v>65</v>
      </c>
      <c r="P318" s="1">
        <v>6.8</v>
      </c>
      <c r="Q318" s="1">
        <v>6.5</v>
      </c>
      <c r="R318" s="1">
        <v>0</v>
      </c>
      <c r="S318" s="2">
        <v>2</v>
      </c>
      <c r="T318" s="1">
        <v>22</v>
      </c>
      <c r="U318" s="17">
        <v>0.831152647810126</v>
      </c>
      <c r="V318" s="4">
        <v>47.9</v>
      </c>
      <c r="W318" s="1">
        <v>33.6</v>
      </c>
      <c r="X318" s="13">
        <v>170.607249120215</v>
      </c>
      <c r="Y318" s="9">
        <v>10.4797651330462</v>
      </c>
      <c r="Z318" s="3">
        <v>0.131396630829721</v>
      </c>
    </row>
    <row r="319" spans="2:26">
      <c r="B319" s="1">
        <v>70</v>
      </c>
      <c r="C319" s="1">
        <v>6.8</v>
      </c>
      <c r="D319" s="1">
        <v>6.5</v>
      </c>
      <c r="E319" s="1">
        <v>0</v>
      </c>
      <c r="F319" s="2">
        <v>2</v>
      </c>
      <c r="G319" s="1">
        <v>22</v>
      </c>
      <c r="H319" s="3">
        <v>0.784179277129304</v>
      </c>
      <c r="I319" s="4">
        <v>52</v>
      </c>
      <c r="J319" s="1">
        <v>37.5</v>
      </c>
      <c r="K319" s="4">
        <v>210.798437666487</v>
      </c>
      <c r="L319" s="13">
        <v>11.3487622395915</v>
      </c>
      <c r="M319" s="9">
        <v>0.118759057696679</v>
      </c>
      <c r="O319" s="1">
        <v>70</v>
      </c>
      <c r="P319" s="1">
        <v>6.8</v>
      </c>
      <c r="Q319" s="1">
        <v>6.5</v>
      </c>
      <c r="R319" s="1">
        <v>0</v>
      </c>
      <c r="S319" s="2">
        <v>2</v>
      </c>
      <c r="T319" s="1">
        <v>22</v>
      </c>
      <c r="U319" s="17">
        <v>0.784179277129304</v>
      </c>
      <c r="V319" s="4">
        <v>52</v>
      </c>
      <c r="W319" s="1">
        <v>37.5</v>
      </c>
      <c r="X319" s="13">
        <v>210.798437666487</v>
      </c>
      <c r="Y319" s="9">
        <v>11.3487622395915</v>
      </c>
      <c r="Z319" s="3">
        <v>0.118759057696679</v>
      </c>
    </row>
    <row r="320" spans="2:26">
      <c r="B320" s="1">
        <v>45</v>
      </c>
      <c r="C320" s="1">
        <v>8</v>
      </c>
      <c r="D320" s="1">
        <v>6.5</v>
      </c>
      <c r="E320" s="1">
        <v>0</v>
      </c>
      <c r="F320" s="2">
        <v>2</v>
      </c>
      <c r="G320" s="1">
        <v>22</v>
      </c>
      <c r="H320" s="3">
        <v>0.93913980595102</v>
      </c>
      <c r="I320" s="4">
        <v>36</v>
      </c>
      <c r="J320" s="1">
        <v>20.1</v>
      </c>
      <c r="K320" s="4">
        <v>71.328449141763</v>
      </c>
      <c r="L320" s="13">
        <v>10.116729807514</v>
      </c>
      <c r="M320" s="9">
        <v>0.206057230493639</v>
      </c>
      <c r="O320" s="1">
        <v>45</v>
      </c>
      <c r="P320" s="1">
        <v>8</v>
      </c>
      <c r="Q320" s="1">
        <v>6.5</v>
      </c>
      <c r="R320" s="1">
        <v>0</v>
      </c>
      <c r="S320" s="2">
        <v>2</v>
      </c>
      <c r="T320" s="1">
        <v>22</v>
      </c>
      <c r="U320" s="17">
        <v>0.93913980595102</v>
      </c>
      <c r="V320" s="4">
        <v>36</v>
      </c>
      <c r="W320" s="1">
        <v>20.1</v>
      </c>
      <c r="X320" s="13">
        <v>71.328449141763</v>
      </c>
      <c r="Y320" s="9">
        <v>10.116729807514</v>
      </c>
      <c r="Z320" s="3">
        <v>0.206057230493639</v>
      </c>
    </row>
    <row r="321" spans="2:26">
      <c r="B321" s="1">
        <v>50</v>
      </c>
      <c r="C321" s="1">
        <v>8</v>
      </c>
      <c r="D321" s="1">
        <v>6.5</v>
      </c>
      <c r="E321" s="1">
        <v>0</v>
      </c>
      <c r="F321" s="2">
        <v>2</v>
      </c>
      <c r="G321" s="1">
        <v>22</v>
      </c>
      <c r="H321" s="3">
        <v>0.920818198615511</v>
      </c>
      <c r="I321" s="4">
        <v>39.5</v>
      </c>
      <c r="J321" s="1">
        <v>23.5</v>
      </c>
      <c r="K321" s="4">
        <v>90.0698474796279</v>
      </c>
      <c r="L321" s="13">
        <v>9.40969039047531</v>
      </c>
      <c r="M321" s="9">
        <v>0.175944274199543</v>
      </c>
      <c r="O321" s="1">
        <v>50</v>
      </c>
      <c r="P321" s="1">
        <v>8</v>
      </c>
      <c r="Q321" s="1">
        <v>6.5</v>
      </c>
      <c r="R321" s="1">
        <v>0</v>
      </c>
      <c r="S321" s="2">
        <v>2</v>
      </c>
      <c r="T321" s="1">
        <v>22</v>
      </c>
      <c r="U321" s="17">
        <v>0.920818198615511</v>
      </c>
      <c r="V321" s="4">
        <v>39.5</v>
      </c>
      <c r="W321" s="1">
        <v>23.5</v>
      </c>
      <c r="X321" s="13">
        <v>90.0698474796279</v>
      </c>
      <c r="Y321" s="9">
        <v>9.40969039047531</v>
      </c>
      <c r="Z321" s="3">
        <v>0.175944274199543</v>
      </c>
    </row>
    <row r="322" spans="2:26">
      <c r="B322" s="1">
        <v>55</v>
      </c>
      <c r="C322" s="1">
        <v>8</v>
      </c>
      <c r="D322" s="1">
        <v>6.5</v>
      </c>
      <c r="E322" s="1">
        <v>0</v>
      </c>
      <c r="F322" s="2">
        <v>2</v>
      </c>
      <c r="G322" s="1">
        <v>22</v>
      </c>
      <c r="H322" s="3">
        <v>0.89760467536325</v>
      </c>
      <c r="I322" s="4">
        <v>42</v>
      </c>
      <c r="J322" s="1">
        <v>27.2</v>
      </c>
      <c r="K322" s="4">
        <v>118.97903996927</v>
      </c>
      <c r="L322" s="13">
        <v>10.3719086253275</v>
      </c>
      <c r="M322" s="9">
        <v>0.150467938123088</v>
      </c>
      <c r="O322" s="1">
        <v>55</v>
      </c>
      <c r="P322" s="1">
        <v>8</v>
      </c>
      <c r="Q322" s="1">
        <v>6.5</v>
      </c>
      <c r="R322" s="1">
        <v>0</v>
      </c>
      <c r="S322" s="2">
        <v>2</v>
      </c>
      <c r="T322" s="1">
        <v>22</v>
      </c>
      <c r="U322" s="17">
        <v>0.89760467536325</v>
      </c>
      <c r="V322" s="4">
        <v>42</v>
      </c>
      <c r="W322" s="1">
        <v>27.2</v>
      </c>
      <c r="X322" s="13">
        <v>118.97903996927</v>
      </c>
      <c r="Y322" s="9">
        <v>10.3719086253275</v>
      </c>
      <c r="Z322" s="3">
        <v>0.150467938123088</v>
      </c>
    </row>
    <row r="323" spans="2:26">
      <c r="B323" s="1">
        <v>60</v>
      </c>
      <c r="C323" s="1">
        <v>8</v>
      </c>
      <c r="D323" s="1">
        <v>6.5</v>
      </c>
      <c r="E323" s="1">
        <v>0</v>
      </c>
      <c r="F323" s="2">
        <v>2</v>
      </c>
      <c r="G323" s="1">
        <v>22</v>
      </c>
      <c r="H323" s="3">
        <v>0.868253123396246</v>
      </c>
      <c r="I323" s="4">
        <v>46.7</v>
      </c>
      <c r="J323" s="1">
        <v>30</v>
      </c>
      <c r="K323" s="4">
        <v>142.420153638606</v>
      </c>
      <c r="L323" s="13">
        <v>9.61431298195106</v>
      </c>
      <c r="M323" s="9">
        <v>0.128398706866207</v>
      </c>
      <c r="O323" s="1">
        <v>60</v>
      </c>
      <c r="P323" s="1">
        <v>8</v>
      </c>
      <c r="Q323" s="1">
        <v>6.5</v>
      </c>
      <c r="R323" s="1">
        <v>0</v>
      </c>
      <c r="S323" s="2">
        <v>2</v>
      </c>
      <c r="T323" s="1">
        <v>22</v>
      </c>
      <c r="U323" s="17">
        <v>0.868253123396246</v>
      </c>
      <c r="V323" s="4">
        <v>46.7</v>
      </c>
      <c r="W323" s="1">
        <v>30</v>
      </c>
      <c r="X323" s="13">
        <v>142.420153638606</v>
      </c>
      <c r="Y323" s="9">
        <v>9.61431298195106</v>
      </c>
      <c r="Z323" s="3">
        <v>0.128398706866207</v>
      </c>
    </row>
    <row r="324" spans="2:26">
      <c r="B324" s="1">
        <v>65</v>
      </c>
      <c r="C324" s="1">
        <v>8</v>
      </c>
      <c r="D324" s="1">
        <v>6.5</v>
      </c>
      <c r="E324" s="1">
        <v>0</v>
      </c>
      <c r="F324" s="2">
        <v>2</v>
      </c>
      <c r="G324" s="1">
        <v>22</v>
      </c>
      <c r="H324" s="3">
        <v>0.831152647810126</v>
      </c>
      <c r="I324" s="4">
        <v>51.6</v>
      </c>
      <c r="J324" s="1">
        <v>33.9</v>
      </c>
      <c r="K324" s="4">
        <v>171.13824096153</v>
      </c>
      <c r="L324" s="13">
        <v>9.8467095747289</v>
      </c>
      <c r="M324" s="9">
        <v>0.112931359745423</v>
      </c>
      <c r="O324" s="1">
        <v>65</v>
      </c>
      <c r="P324" s="1">
        <v>8</v>
      </c>
      <c r="Q324" s="1">
        <v>6.5</v>
      </c>
      <c r="R324" s="1">
        <v>0</v>
      </c>
      <c r="S324" s="2">
        <v>2</v>
      </c>
      <c r="T324" s="1">
        <v>22</v>
      </c>
      <c r="U324" s="17">
        <v>0.831152647810126</v>
      </c>
      <c r="V324" s="4">
        <v>51.6</v>
      </c>
      <c r="W324" s="1">
        <v>33.9</v>
      </c>
      <c r="X324" s="13">
        <v>171.13824096153</v>
      </c>
      <c r="Y324" s="9">
        <v>9.8467095747289</v>
      </c>
      <c r="Z324" s="3">
        <v>0.112931359745423</v>
      </c>
    </row>
    <row r="325" spans="2:26">
      <c r="B325" s="1">
        <v>70</v>
      </c>
      <c r="C325" s="1">
        <v>8</v>
      </c>
      <c r="D325" s="1">
        <v>6.5</v>
      </c>
      <c r="E325" s="1">
        <v>0</v>
      </c>
      <c r="F325" s="2">
        <v>2</v>
      </c>
      <c r="G325" s="1">
        <v>22</v>
      </c>
      <c r="H325" s="3">
        <v>0.784179277129304</v>
      </c>
      <c r="I325" s="4">
        <v>56.6</v>
      </c>
      <c r="J325" s="1">
        <v>38.2</v>
      </c>
      <c r="K325" s="4">
        <v>207.597464858838</v>
      </c>
      <c r="L325" s="13">
        <v>10.5596065775066</v>
      </c>
      <c r="M325" s="9">
        <v>0.103607890738825</v>
      </c>
      <c r="O325" s="1">
        <v>70</v>
      </c>
      <c r="P325" s="1">
        <v>8</v>
      </c>
      <c r="Q325" s="1">
        <v>6.5</v>
      </c>
      <c r="R325" s="1">
        <v>0</v>
      </c>
      <c r="S325" s="2">
        <v>2</v>
      </c>
      <c r="T325" s="1">
        <v>22</v>
      </c>
      <c r="U325" s="17">
        <v>0.784179277129304</v>
      </c>
      <c r="V325" s="4">
        <v>56.6</v>
      </c>
      <c r="W325" s="1">
        <v>38.2</v>
      </c>
      <c r="X325" s="13">
        <v>207.597464858838</v>
      </c>
      <c r="Y325" s="9">
        <v>10.5596065775066</v>
      </c>
      <c r="Z325" s="3">
        <v>0.103607890738825</v>
      </c>
    </row>
    <row r="326" spans="2:26">
      <c r="B326" s="1">
        <v>45</v>
      </c>
      <c r="C326" s="1">
        <v>4.5</v>
      </c>
      <c r="D326" s="1">
        <v>8</v>
      </c>
      <c r="E326" s="1">
        <v>0</v>
      </c>
      <c r="F326" s="2">
        <v>2</v>
      </c>
      <c r="G326" s="1">
        <v>21.7</v>
      </c>
      <c r="H326" s="3">
        <v>0.93913980595102</v>
      </c>
      <c r="I326" s="4">
        <v>27</v>
      </c>
      <c r="J326" s="1">
        <v>13.9</v>
      </c>
      <c r="K326" s="4">
        <v>71.2199146135847</v>
      </c>
      <c r="L326" s="13">
        <v>9.95346716668942</v>
      </c>
      <c r="M326" s="9">
        <v>0.395063351517444</v>
      </c>
      <c r="O326" s="1">
        <v>45</v>
      </c>
      <c r="P326" s="1">
        <v>4.5</v>
      </c>
      <c r="Q326" s="1">
        <v>8</v>
      </c>
      <c r="R326" s="1">
        <v>0</v>
      </c>
      <c r="S326" s="2">
        <v>2</v>
      </c>
      <c r="T326" s="1">
        <v>21.7</v>
      </c>
      <c r="U326" s="17">
        <v>0.93913980595102</v>
      </c>
      <c r="V326" s="4">
        <v>27</v>
      </c>
      <c r="W326" s="1">
        <v>13.9</v>
      </c>
      <c r="X326" s="13">
        <v>71.2199146135847</v>
      </c>
      <c r="Y326" s="9">
        <v>9.95346716668942</v>
      </c>
      <c r="Z326" s="3">
        <v>0.395063351517444</v>
      </c>
    </row>
    <row r="327" spans="2:26">
      <c r="B327" s="1">
        <v>50</v>
      </c>
      <c r="C327" s="1">
        <v>4.5</v>
      </c>
      <c r="D327" s="1">
        <v>8</v>
      </c>
      <c r="E327" s="1">
        <v>0</v>
      </c>
      <c r="F327" s="2">
        <v>2</v>
      </c>
      <c r="G327" s="1">
        <v>21.7</v>
      </c>
      <c r="H327" s="3">
        <v>0.920818198615511</v>
      </c>
      <c r="I327" s="4">
        <v>31.2</v>
      </c>
      <c r="J327" s="1">
        <v>17.3</v>
      </c>
      <c r="K327" s="4">
        <v>84.1805944929144</v>
      </c>
      <c r="L327" s="13">
        <v>8.22744507479914</v>
      </c>
      <c r="M327" s="9">
        <v>0.346437502862847</v>
      </c>
      <c r="O327" s="1">
        <v>50</v>
      </c>
      <c r="P327" s="1">
        <v>4.5</v>
      </c>
      <c r="Q327" s="1">
        <v>8</v>
      </c>
      <c r="R327" s="1">
        <v>0</v>
      </c>
      <c r="S327" s="2">
        <v>2</v>
      </c>
      <c r="T327" s="1">
        <v>21.7</v>
      </c>
      <c r="U327" s="17">
        <v>0.920818198615511</v>
      </c>
      <c r="V327" s="4">
        <v>31.2</v>
      </c>
      <c r="W327" s="1">
        <v>17.3</v>
      </c>
      <c r="X327" s="13">
        <v>84.1805944929144</v>
      </c>
      <c r="Y327" s="9">
        <v>8.22744507479914</v>
      </c>
      <c r="Z327" s="3">
        <v>0.346437502862847</v>
      </c>
    </row>
    <row r="328" spans="2:26">
      <c r="B328" s="1">
        <v>55</v>
      </c>
      <c r="C328" s="1">
        <v>4.5</v>
      </c>
      <c r="D328" s="1">
        <v>8</v>
      </c>
      <c r="E328" s="1">
        <v>0</v>
      </c>
      <c r="F328" s="2">
        <v>2</v>
      </c>
      <c r="G328" s="1">
        <v>21.7</v>
      </c>
      <c r="H328" s="3">
        <v>0.89760467536325</v>
      </c>
      <c r="I328" s="4">
        <v>35.2</v>
      </c>
      <c r="J328" s="1">
        <v>22.1</v>
      </c>
      <c r="K328" s="4">
        <v>100.568600804509</v>
      </c>
      <c r="L328" s="13">
        <v>8.16686593278179</v>
      </c>
      <c r="M328" s="9">
        <v>0.306740807200374</v>
      </c>
      <c r="O328" s="1">
        <v>55</v>
      </c>
      <c r="P328" s="1">
        <v>4.5</v>
      </c>
      <c r="Q328" s="1">
        <v>8</v>
      </c>
      <c r="R328" s="1">
        <v>0</v>
      </c>
      <c r="S328" s="2">
        <v>2</v>
      </c>
      <c r="T328" s="1">
        <v>21.7</v>
      </c>
      <c r="U328" s="17">
        <v>0.89760467536325</v>
      </c>
      <c r="V328" s="4">
        <v>35.2</v>
      </c>
      <c r="W328" s="1">
        <v>22.1</v>
      </c>
      <c r="X328" s="13">
        <v>100.568600804509</v>
      </c>
      <c r="Y328" s="9">
        <v>8.16686593278179</v>
      </c>
      <c r="Z328" s="3">
        <v>0.306740807200374</v>
      </c>
    </row>
    <row r="329" spans="2:26">
      <c r="B329" s="1">
        <v>60</v>
      </c>
      <c r="C329" s="1">
        <v>4.5</v>
      </c>
      <c r="D329" s="1">
        <v>8</v>
      </c>
      <c r="E329" s="1">
        <v>0</v>
      </c>
      <c r="F329" s="2">
        <v>2</v>
      </c>
      <c r="G329" s="1">
        <v>21.7</v>
      </c>
      <c r="H329" s="3">
        <v>0.868253123396246</v>
      </c>
      <c r="I329" s="4">
        <v>38.8</v>
      </c>
      <c r="J329" s="1">
        <v>25.1</v>
      </c>
      <c r="K329" s="4">
        <v>120.181713726022</v>
      </c>
      <c r="L329" s="13">
        <v>7.97703455948149</v>
      </c>
      <c r="M329" s="9">
        <v>0.262230935207834</v>
      </c>
      <c r="O329" s="1">
        <v>60</v>
      </c>
      <c r="P329" s="1">
        <v>4.5</v>
      </c>
      <c r="Q329" s="1">
        <v>8</v>
      </c>
      <c r="R329" s="1">
        <v>0</v>
      </c>
      <c r="S329" s="2">
        <v>2</v>
      </c>
      <c r="T329" s="1">
        <v>21.7</v>
      </c>
      <c r="U329" s="17">
        <v>0.868253123396246</v>
      </c>
      <c r="V329" s="4">
        <v>38.8</v>
      </c>
      <c r="W329" s="1">
        <v>25.1</v>
      </c>
      <c r="X329" s="13">
        <v>120.181713726022</v>
      </c>
      <c r="Y329" s="9">
        <v>7.97703455948149</v>
      </c>
      <c r="Z329" s="3">
        <v>0.262230935207834</v>
      </c>
    </row>
    <row r="330" spans="2:26">
      <c r="B330" s="1">
        <v>65</v>
      </c>
      <c r="C330" s="1">
        <v>4.5</v>
      </c>
      <c r="D330" s="1">
        <v>8</v>
      </c>
      <c r="E330" s="1">
        <v>0</v>
      </c>
      <c r="F330" s="2">
        <v>2</v>
      </c>
      <c r="G330" s="1">
        <v>21.7</v>
      </c>
      <c r="H330" s="3">
        <v>0.831152647810126</v>
      </c>
      <c r="I330" s="4">
        <v>42.6</v>
      </c>
      <c r="J330" s="1">
        <v>28.9</v>
      </c>
      <c r="K330" s="4">
        <v>144.067844099783</v>
      </c>
      <c r="L330" s="13">
        <v>8.2566600757929</v>
      </c>
      <c r="M330" s="9">
        <v>0.226964623066038</v>
      </c>
      <c r="O330" s="1">
        <v>65</v>
      </c>
      <c r="P330" s="1">
        <v>4.5</v>
      </c>
      <c r="Q330" s="1">
        <v>8</v>
      </c>
      <c r="R330" s="1">
        <v>0</v>
      </c>
      <c r="S330" s="2">
        <v>2</v>
      </c>
      <c r="T330" s="1">
        <v>21.7</v>
      </c>
      <c r="U330" s="17">
        <v>0.831152647810126</v>
      </c>
      <c r="V330" s="4">
        <v>42.6</v>
      </c>
      <c r="W330" s="1">
        <v>28.9</v>
      </c>
      <c r="X330" s="13">
        <v>144.067844099783</v>
      </c>
      <c r="Y330" s="9">
        <v>8.2566600757929</v>
      </c>
      <c r="Z330" s="3">
        <v>0.226964623066038</v>
      </c>
    </row>
    <row r="331" spans="2:26">
      <c r="B331" s="1">
        <v>70</v>
      </c>
      <c r="C331" s="1">
        <v>4.5</v>
      </c>
      <c r="D331" s="1">
        <v>8</v>
      </c>
      <c r="E331" s="1">
        <v>0</v>
      </c>
      <c r="F331" s="2">
        <v>2</v>
      </c>
      <c r="G331" s="1">
        <v>21.7</v>
      </c>
      <c r="H331" s="3">
        <v>0.784179277129304</v>
      </c>
      <c r="I331" s="4">
        <v>47.6</v>
      </c>
      <c r="J331" s="1">
        <v>31.3</v>
      </c>
      <c r="K331" s="4">
        <v>169.273913382212</v>
      </c>
      <c r="L331" s="13">
        <v>8.00779013642997</v>
      </c>
      <c r="M331" s="9">
        <v>0.194791545758651</v>
      </c>
      <c r="O331" s="1">
        <v>70</v>
      </c>
      <c r="P331" s="1">
        <v>4.5</v>
      </c>
      <c r="Q331" s="1">
        <v>8</v>
      </c>
      <c r="R331" s="1">
        <v>0</v>
      </c>
      <c r="S331" s="2">
        <v>2</v>
      </c>
      <c r="T331" s="1">
        <v>21.7</v>
      </c>
      <c r="U331" s="17">
        <v>0.784179277129304</v>
      </c>
      <c r="V331" s="4">
        <v>47.6</v>
      </c>
      <c r="W331" s="1">
        <v>31.3</v>
      </c>
      <c r="X331" s="13">
        <v>169.273913382212</v>
      </c>
      <c r="Y331" s="9">
        <v>8.00779013642997</v>
      </c>
      <c r="Z331" s="3">
        <v>0.194791545758651</v>
      </c>
    </row>
    <row r="332" spans="2:26">
      <c r="B332" s="1">
        <v>45</v>
      </c>
      <c r="C332" s="1">
        <v>5.6</v>
      </c>
      <c r="D332" s="1">
        <v>8</v>
      </c>
      <c r="E332" s="1">
        <v>0</v>
      </c>
      <c r="F332" s="2">
        <v>2</v>
      </c>
      <c r="G332" s="1">
        <v>21.7</v>
      </c>
      <c r="H332" s="3">
        <v>0.93913980595102</v>
      </c>
      <c r="I332" s="4">
        <v>28.3</v>
      </c>
      <c r="J332" s="1">
        <v>17.8</v>
      </c>
      <c r="K332" s="4">
        <v>81.5198960702168</v>
      </c>
      <c r="L332" s="13">
        <v>13.5116676010939</v>
      </c>
      <c r="M332" s="9">
        <v>0.345780094408036</v>
      </c>
      <c r="O332" s="1">
        <v>45</v>
      </c>
      <c r="P332" s="1">
        <v>5.6</v>
      </c>
      <c r="Q332" s="1">
        <v>8</v>
      </c>
      <c r="R332" s="1">
        <v>0</v>
      </c>
      <c r="S332" s="2">
        <v>2</v>
      </c>
      <c r="T332" s="1">
        <v>21.7</v>
      </c>
      <c r="U332" s="17">
        <v>0.93913980595102</v>
      </c>
      <c r="V332" s="4">
        <v>28.3</v>
      </c>
      <c r="W332" s="1">
        <v>17.8</v>
      </c>
      <c r="X332" s="13">
        <v>81.5198960702168</v>
      </c>
      <c r="Y332" s="9">
        <v>13.5116676010939</v>
      </c>
      <c r="Z332" s="3">
        <v>0.345780094408036</v>
      </c>
    </row>
    <row r="333" spans="2:26">
      <c r="B333" s="1">
        <v>50</v>
      </c>
      <c r="C333" s="1">
        <v>5.6</v>
      </c>
      <c r="D333" s="1">
        <v>8</v>
      </c>
      <c r="E333" s="1">
        <v>0</v>
      </c>
      <c r="F333" s="2">
        <v>2</v>
      </c>
      <c r="G333" s="1">
        <v>21.7</v>
      </c>
      <c r="H333" s="3">
        <v>0.920818198615511</v>
      </c>
      <c r="I333" s="4">
        <v>32.6</v>
      </c>
      <c r="J333" s="1">
        <v>23</v>
      </c>
      <c r="K333" s="4">
        <v>96.9038228920932</v>
      </c>
      <c r="L333" s="13">
        <v>12.4773356935652</v>
      </c>
      <c r="M333" s="9">
        <v>0.305616690519643</v>
      </c>
      <c r="O333" s="1">
        <v>50</v>
      </c>
      <c r="P333" s="1">
        <v>5.6</v>
      </c>
      <c r="Q333" s="1">
        <v>8</v>
      </c>
      <c r="R333" s="1">
        <v>0</v>
      </c>
      <c r="S333" s="2">
        <v>2</v>
      </c>
      <c r="T333" s="1">
        <v>21.7</v>
      </c>
      <c r="U333" s="17">
        <v>0.920818198615511</v>
      </c>
      <c r="V333" s="4">
        <v>32.6</v>
      </c>
      <c r="W333" s="1">
        <v>23</v>
      </c>
      <c r="X333" s="13">
        <v>96.9038228920932</v>
      </c>
      <c r="Y333" s="9">
        <v>12.4773356935652</v>
      </c>
      <c r="Z333" s="3">
        <v>0.305616690519643</v>
      </c>
    </row>
    <row r="334" spans="2:26">
      <c r="B334" s="1">
        <v>55</v>
      </c>
      <c r="C334" s="1">
        <v>5.6</v>
      </c>
      <c r="D334" s="1">
        <v>8</v>
      </c>
      <c r="E334" s="1">
        <v>0</v>
      </c>
      <c r="F334" s="2">
        <v>2</v>
      </c>
      <c r="G334" s="1">
        <v>21.7</v>
      </c>
      <c r="H334" s="3">
        <v>0.89760467536325</v>
      </c>
      <c r="I334" s="4">
        <v>38.4</v>
      </c>
      <c r="J334" s="1">
        <v>26.5</v>
      </c>
      <c r="K334" s="4">
        <v>109.998818766235</v>
      </c>
      <c r="L334" s="13">
        <v>9.98307176508529</v>
      </c>
      <c r="M334" s="9">
        <v>0.262194788529346</v>
      </c>
      <c r="O334" s="1">
        <v>55</v>
      </c>
      <c r="P334" s="1">
        <v>5.6</v>
      </c>
      <c r="Q334" s="1">
        <v>8</v>
      </c>
      <c r="R334" s="1">
        <v>0</v>
      </c>
      <c r="S334" s="2">
        <v>2</v>
      </c>
      <c r="T334" s="1">
        <v>21.7</v>
      </c>
      <c r="U334" s="17">
        <v>0.89760467536325</v>
      </c>
      <c r="V334" s="4">
        <v>38.4</v>
      </c>
      <c r="W334" s="1">
        <v>26.5</v>
      </c>
      <c r="X334" s="13">
        <v>109.998818766235</v>
      </c>
      <c r="Y334" s="9">
        <v>9.98307176508529</v>
      </c>
      <c r="Z334" s="3">
        <v>0.262194788529346</v>
      </c>
    </row>
    <row r="335" spans="2:26">
      <c r="B335" s="1">
        <v>60</v>
      </c>
      <c r="C335" s="1">
        <v>5.6</v>
      </c>
      <c r="D335" s="1">
        <v>8</v>
      </c>
      <c r="E335" s="1">
        <v>0</v>
      </c>
      <c r="F335" s="2">
        <v>2</v>
      </c>
      <c r="G335" s="1">
        <v>21.7</v>
      </c>
      <c r="H335" s="3">
        <v>0.868253123396246</v>
      </c>
      <c r="I335" s="4">
        <v>41</v>
      </c>
      <c r="J335" s="1">
        <v>29.3</v>
      </c>
      <c r="K335" s="4">
        <v>136.207806429246</v>
      </c>
      <c r="L335" s="13">
        <v>10.0883768934616</v>
      </c>
      <c r="M335" s="9">
        <v>0.222747432137795</v>
      </c>
      <c r="O335" s="1">
        <v>60</v>
      </c>
      <c r="P335" s="1">
        <v>5.6</v>
      </c>
      <c r="Q335" s="1">
        <v>8</v>
      </c>
      <c r="R335" s="1">
        <v>0</v>
      </c>
      <c r="S335" s="2">
        <v>2</v>
      </c>
      <c r="T335" s="1">
        <v>21.7</v>
      </c>
      <c r="U335" s="17">
        <v>0.868253123396246</v>
      </c>
      <c r="V335" s="4">
        <v>41</v>
      </c>
      <c r="W335" s="1">
        <v>29.3</v>
      </c>
      <c r="X335" s="13">
        <v>136.207806429246</v>
      </c>
      <c r="Y335" s="9">
        <v>10.0883768934616</v>
      </c>
      <c r="Z335" s="3">
        <v>0.222747432137795</v>
      </c>
    </row>
    <row r="336" spans="2:26">
      <c r="B336" s="1">
        <v>65</v>
      </c>
      <c r="C336" s="1">
        <v>5.6</v>
      </c>
      <c r="D336" s="1">
        <v>8</v>
      </c>
      <c r="E336" s="1">
        <v>0</v>
      </c>
      <c r="F336" s="2">
        <v>2</v>
      </c>
      <c r="G336" s="1">
        <v>21.7</v>
      </c>
      <c r="H336" s="3">
        <v>0.831152647810126</v>
      </c>
      <c r="I336" s="4">
        <v>45.2</v>
      </c>
      <c r="J336" s="1">
        <v>32.9</v>
      </c>
      <c r="K336" s="4">
        <v>163.497366293134</v>
      </c>
      <c r="L336" s="13">
        <v>10.1742116465115</v>
      </c>
      <c r="M336" s="9">
        <v>0.193813748314915</v>
      </c>
      <c r="O336" s="1">
        <v>65</v>
      </c>
      <c r="P336" s="1">
        <v>5.6</v>
      </c>
      <c r="Q336" s="1">
        <v>8</v>
      </c>
      <c r="R336" s="1">
        <v>0</v>
      </c>
      <c r="S336" s="2">
        <v>2</v>
      </c>
      <c r="T336" s="1">
        <v>21.7</v>
      </c>
      <c r="U336" s="17">
        <v>0.831152647810126</v>
      </c>
      <c r="V336" s="4">
        <v>45.2</v>
      </c>
      <c r="W336" s="1">
        <v>32.9</v>
      </c>
      <c r="X336" s="13">
        <v>163.497366293134</v>
      </c>
      <c r="Y336" s="9">
        <v>10.1742116465115</v>
      </c>
      <c r="Z336" s="3">
        <v>0.193813748314915</v>
      </c>
    </row>
    <row r="337" spans="2:26">
      <c r="B337" s="1">
        <v>70</v>
      </c>
      <c r="C337" s="1">
        <v>5.6</v>
      </c>
      <c r="D337" s="1">
        <v>8</v>
      </c>
      <c r="E337" s="1">
        <v>0</v>
      </c>
      <c r="F337" s="2">
        <v>2</v>
      </c>
      <c r="G337" s="1">
        <v>21.7</v>
      </c>
      <c r="H337" s="3">
        <v>0.784179277129304</v>
      </c>
      <c r="I337" s="4">
        <v>48.6</v>
      </c>
      <c r="J337" s="1">
        <v>37.2</v>
      </c>
      <c r="K337" s="4">
        <v>201.994602371371</v>
      </c>
      <c r="L337" s="13">
        <v>11.3165708946336</v>
      </c>
      <c r="M337" s="9">
        <v>0.175194826045812</v>
      </c>
      <c r="O337" s="1">
        <v>70</v>
      </c>
      <c r="P337" s="1">
        <v>5.6</v>
      </c>
      <c r="Q337" s="1">
        <v>8</v>
      </c>
      <c r="R337" s="1">
        <v>0</v>
      </c>
      <c r="S337" s="2">
        <v>2</v>
      </c>
      <c r="T337" s="1">
        <v>21.7</v>
      </c>
      <c r="U337" s="17">
        <v>0.784179277129304</v>
      </c>
      <c r="V337" s="4">
        <v>48.6</v>
      </c>
      <c r="W337" s="1">
        <v>37.2</v>
      </c>
      <c r="X337" s="13">
        <v>201.994602371371</v>
      </c>
      <c r="Y337" s="9">
        <v>11.3165708946336</v>
      </c>
      <c r="Z337" s="3">
        <v>0.175194826045812</v>
      </c>
    </row>
    <row r="338" spans="2:26">
      <c r="B338" s="1">
        <v>45</v>
      </c>
      <c r="C338" s="1">
        <v>6.8</v>
      </c>
      <c r="D338" s="1">
        <v>8</v>
      </c>
      <c r="E338" s="1">
        <v>0</v>
      </c>
      <c r="F338" s="2">
        <v>2</v>
      </c>
      <c r="G338" s="1">
        <v>21.7</v>
      </c>
      <c r="H338" s="3">
        <v>0.93913980595102</v>
      </c>
      <c r="I338" s="4">
        <v>30.3</v>
      </c>
      <c r="J338" s="1">
        <v>18.5</v>
      </c>
      <c r="K338" s="4">
        <v>87.4982871011134</v>
      </c>
      <c r="L338" s="13">
        <v>13.4274476571365</v>
      </c>
      <c r="M338" s="9">
        <v>0.289319182336839</v>
      </c>
      <c r="O338" s="1">
        <v>45</v>
      </c>
      <c r="P338" s="1">
        <v>6.8</v>
      </c>
      <c r="Q338" s="1">
        <v>8</v>
      </c>
      <c r="R338" s="1">
        <v>0</v>
      </c>
      <c r="S338" s="2">
        <v>2</v>
      </c>
      <c r="T338" s="1">
        <v>21.7</v>
      </c>
      <c r="U338" s="17">
        <v>0.93913980595102</v>
      </c>
      <c r="V338" s="4">
        <v>30.3</v>
      </c>
      <c r="W338" s="1">
        <v>18.5</v>
      </c>
      <c r="X338" s="13">
        <v>87.4982871011134</v>
      </c>
      <c r="Y338" s="9">
        <v>13.4274476571365</v>
      </c>
      <c r="Z338" s="3">
        <v>0.289319182336839</v>
      </c>
    </row>
    <row r="339" spans="2:26">
      <c r="B339" s="1">
        <v>50</v>
      </c>
      <c r="C339" s="1">
        <v>6.8</v>
      </c>
      <c r="D339" s="1">
        <v>8</v>
      </c>
      <c r="E339" s="1">
        <v>0</v>
      </c>
      <c r="F339" s="2">
        <v>2</v>
      </c>
      <c r="G339" s="1">
        <v>21.7</v>
      </c>
      <c r="H339" s="3">
        <v>0.920818198615511</v>
      </c>
      <c r="I339" s="4">
        <v>34.6</v>
      </c>
      <c r="J339" s="1">
        <v>22.5</v>
      </c>
      <c r="K339" s="4">
        <v>104.130052791349</v>
      </c>
      <c r="L339" s="13">
        <v>11.7237150954607</v>
      </c>
      <c r="M339" s="9">
        <v>0.250771213440702</v>
      </c>
      <c r="O339" s="1">
        <v>50</v>
      </c>
      <c r="P339" s="1">
        <v>6.8</v>
      </c>
      <c r="Q339" s="1">
        <v>8</v>
      </c>
      <c r="R339" s="1">
        <v>0</v>
      </c>
      <c r="S339" s="2">
        <v>2</v>
      </c>
      <c r="T339" s="1">
        <v>21.7</v>
      </c>
      <c r="U339" s="17">
        <v>0.920818198615511</v>
      </c>
      <c r="V339" s="4">
        <v>34.6</v>
      </c>
      <c r="W339" s="1">
        <v>22.5</v>
      </c>
      <c r="X339" s="13">
        <v>104.130052791349</v>
      </c>
      <c r="Y339" s="9">
        <v>11.7237150954607</v>
      </c>
      <c r="Z339" s="3">
        <v>0.250771213440702</v>
      </c>
    </row>
    <row r="340" spans="2:26">
      <c r="B340" s="1">
        <v>55</v>
      </c>
      <c r="C340" s="1">
        <v>6.8</v>
      </c>
      <c r="D340" s="1">
        <v>8</v>
      </c>
      <c r="E340" s="1">
        <v>0</v>
      </c>
      <c r="F340" s="2">
        <v>2</v>
      </c>
      <c r="G340" s="1">
        <v>21.7</v>
      </c>
      <c r="H340" s="3">
        <v>0.89760467536325</v>
      </c>
      <c r="I340" s="4">
        <v>39.6</v>
      </c>
      <c r="J340" s="1">
        <v>27.1</v>
      </c>
      <c r="K340" s="4">
        <v>121.850114132375</v>
      </c>
      <c r="L340" s="13">
        <v>11.0420304814499</v>
      </c>
      <c r="M340" s="9">
        <v>0.217924945936237</v>
      </c>
      <c r="O340" s="1">
        <v>55</v>
      </c>
      <c r="P340" s="1">
        <v>6.8</v>
      </c>
      <c r="Q340" s="1">
        <v>8</v>
      </c>
      <c r="R340" s="1">
        <v>0</v>
      </c>
      <c r="S340" s="2">
        <v>2</v>
      </c>
      <c r="T340" s="1">
        <v>21.7</v>
      </c>
      <c r="U340" s="17">
        <v>0.89760467536325</v>
      </c>
      <c r="V340" s="4">
        <v>39.6</v>
      </c>
      <c r="W340" s="1">
        <v>27.1</v>
      </c>
      <c r="X340" s="13">
        <v>121.850114132375</v>
      </c>
      <c r="Y340" s="9">
        <v>11.0420304814499</v>
      </c>
      <c r="Z340" s="3">
        <v>0.217924945936237</v>
      </c>
    </row>
    <row r="341" spans="2:26">
      <c r="B341" s="1">
        <v>60</v>
      </c>
      <c r="C341" s="1">
        <v>6.8</v>
      </c>
      <c r="D341" s="1">
        <v>8</v>
      </c>
      <c r="E341" s="1">
        <v>0</v>
      </c>
      <c r="F341" s="2">
        <v>2</v>
      </c>
      <c r="G341" s="1">
        <v>21.7</v>
      </c>
      <c r="H341" s="3">
        <v>0.868253123396246</v>
      </c>
      <c r="I341" s="4">
        <v>42.8</v>
      </c>
      <c r="J341" s="1">
        <v>29.9</v>
      </c>
      <c r="K341" s="4">
        <v>150.569592607903</v>
      </c>
      <c r="L341" s="13">
        <v>10.9197494906057</v>
      </c>
      <c r="M341" s="9">
        <v>0.185397950853292</v>
      </c>
      <c r="O341" s="1">
        <v>60</v>
      </c>
      <c r="P341" s="1">
        <v>6.8</v>
      </c>
      <c r="Q341" s="1">
        <v>8</v>
      </c>
      <c r="R341" s="1">
        <v>0</v>
      </c>
      <c r="S341" s="2">
        <v>2</v>
      </c>
      <c r="T341" s="1">
        <v>21.7</v>
      </c>
      <c r="U341" s="17">
        <v>0.868253123396246</v>
      </c>
      <c r="V341" s="4">
        <v>42.8</v>
      </c>
      <c r="W341" s="1">
        <v>29.9</v>
      </c>
      <c r="X341" s="13">
        <v>150.569592607903</v>
      </c>
      <c r="Y341" s="9">
        <v>10.9197494906057</v>
      </c>
      <c r="Z341" s="3">
        <v>0.185397950853292</v>
      </c>
    </row>
    <row r="342" spans="2:26">
      <c r="B342" s="1">
        <v>65</v>
      </c>
      <c r="C342" s="1">
        <v>6.8</v>
      </c>
      <c r="D342" s="1">
        <v>8</v>
      </c>
      <c r="E342" s="1">
        <v>0</v>
      </c>
      <c r="F342" s="2">
        <v>2</v>
      </c>
      <c r="G342" s="1">
        <v>21.7</v>
      </c>
      <c r="H342" s="3">
        <v>0.831152647810126</v>
      </c>
      <c r="I342" s="4">
        <v>46.5</v>
      </c>
      <c r="J342" s="1">
        <v>33.3</v>
      </c>
      <c r="K342" s="4">
        <v>184.613608717611</v>
      </c>
      <c r="L342" s="13">
        <v>11.3295196245214</v>
      </c>
      <c r="M342" s="9">
        <v>0.160994711512235</v>
      </c>
      <c r="O342" s="1">
        <v>65</v>
      </c>
      <c r="P342" s="1">
        <v>6.8</v>
      </c>
      <c r="Q342" s="1">
        <v>8</v>
      </c>
      <c r="R342" s="1">
        <v>0</v>
      </c>
      <c r="S342" s="2">
        <v>2</v>
      </c>
      <c r="T342" s="1">
        <v>21.7</v>
      </c>
      <c r="U342" s="17">
        <v>0.831152647810126</v>
      </c>
      <c r="V342" s="4">
        <v>46.5</v>
      </c>
      <c r="W342" s="1">
        <v>33.3</v>
      </c>
      <c r="X342" s="13">
        <v>184.613608717611</v>
      </c>
      <c r="Y342" s="9">
        <v>11.3295196245214</v>
      </c>
      <c r="Z342" s="3">
        <v>0.160994711512235</v>
      </c>
    </row>
    <row r="343" spans="2:26">
      <c r="B343" s="1">
        <v>70</v>
      </c>
      <c r="C343" s="1">
        <v>6.8</v>
      </c>
      <c r="D343" s="1">
        <v>8</v>
      </c>
      <c r="E343" s="1">
        <v>0</v>
      </c>
      <c r="F343" s="2">
        <v>2</v>
      </c>
      <c r="G343" s="1">
        <v>21.5</v>
      </c>
      <c r="H343" s="3">
        <v>0.784179277129304</v>
      </c>
      <c r="I343" s="4">
        <v>49.3</v>
      </c>
      <c r="J343" s="1">
        <v>37.8</v>
      </c>
      <c r="K343" s="4">
        <v>233.534217626929</v>
      </c>
      <c r="L343" s="13">
        <v>13.0395712237376</v>
      </c>
      <c r="M343" s="9">
        <v>0.146613149216036</v>
      </c>
      <c r="O343" s="1">
        <v>70</v>
      </c>
      <c r="P343" s="1">
        <v>6.8</v>
      </c>
      <c r="Q343" s="1">
        <v>8</v>
      </c>
      <c r="R343" s="1">
        <v>0</v>
      </c>
      <c r="S343" s="2">
        <v>2</v>
      </c>
      <c r="T343" s="1">
        <v>21.5</v>
      </c>
      <c r="U343" s="17">
        <v>0.784179277129304</v>
      </c>
      <c r="V343" s="4">
        <v>49.3</v>
      </c>
      <c r="W343" s="1">
        <v>37.8</v>
      </c>
      <c r="X343" s="13">
        <v>233.534217626929</v>
      </c>
      <c r="Y343" s="9">
        <v>13.0395712237376</v>
      </c>
      <c r="Z343" s="3">
        <v>0.146613149216036</v>
      </c>
    </row>
    <row r="344" spans="2:26">
      <c r="B344" s="1">
        <v>45</v>
      </c>
      <c r="C344" s="1">
        <v>8</v>
      </c>
      <c r="D344" s="1">
        <v>8</v>
      </c>
      <c r="E344" s="1">
        <v>0</v>
      </c>
      <c r="F344" s="2">
        <v>2</v>
      </c>
      <c r="G344" s="1">
        <v>21.5</v>
      </c>
      <c r="H344" s="3">
        <v>0.93913980595102</v>
      </c>
      <c r="I344" s="4">
        <v>33.3</v>
      </c>
      <c r="J344" s="1">
        <v>20</v>
      </c>
      <c r="K344" s="4">
        <v>87.9970510144819</v>
      </c>
      <c r="L344" s="13">
        <v>12.8850642809622</v>
      </c>
      <c r="M344" s="9">
        <v>0.254251925240211</v>
      </c>
      <c r="O344" s="1">
        <v>45</v>
      </c>
      <c r="P344" s="1">
        <v>8</v>
      </c>
      <c r="Q344" s="1">
        <v>8</v>
      </c>
      <c r="R344" s="1">
        <v>0</v>
      </c>
      <c r="S344" s="2">
        <v>2</v>
      </c>
      <c r="T344" s="1">
        <v>21.5</v>
      </c>
      <c r="U344" s="17">
        <v>0.93913980595102</v>
      </c>
      <c r="V344" s="4">
        <v>33.3</v>
      </c>
      <c r="W344" s="1">
        <v>20</v>
      </c>
      <c r="X344" s="13">
        <v>87.9970510144819</v>
      </c>
      <c r="Y344" s="9">
        <v>12.8850642809622</v>
      </c>
      <c r="Z344" s="3">
        <v>0.254251925240211</v>
      </c>
    </row>
    <row r="345" spans="2:26">
      <c r="B345" s="1">
        <v>50</v>
      </c>
      <c r="C345" s="1">
        <v>8</v>
      </c>
      <c r="D345" s="1">
        <v>8</v>
      </c>
      <c r="E345" s="1">
        <v>0</v>
      </c>
      <c r="F345" s="2">
        <v>2</v>
      </c>
      <c r="G345" s="1">
        <v>21.5</v>
      </c>
      <c r="H345" s="3">
        <v>0.920818198615511</v>
      </c>
      <c r="I345" s="4">
        <v>36</v>
      </c>
      <c r="J345" s="1">
        <v>24.1</v>
      </c>
      <c r="K345" s="4">
        <v>112.042827789435</v>
      </c>
      <c r="L345" s="13">
        <v>13.2293083346762</v>
      </c>
      <c r="M345" s="9">
        <v>0.218999061891885</v>
      </c>
      <c r="O345" s="1">
        <v>50</v>
      </c>
      <c r="P345" s="1">
        <v>8</v>
      </c>
      <c r="Q345" s="1">
        <v>8</v>
      </c>
      <c r="R345" s="1">
        <v>0</v>
      </c>
      <c r="S345" s="2">
        <v>2</v>
      </c>
      <c r="T345" s="1">
        <v>21.5</v>
      </c>
      <c r="U345" s="17">
        <v>0.920818198615511</v>
      </c>
      <c r="V345" s="4">
        <v>36</v>
      </c>
      <c r="W345" s="1">
        <v>24.1</v>
      </c>
      <c r="X345" s="13">
        <v>112.042827789435</v>
      </c>
      <c r="Y345" s="9">
        <v>13.2293083346762</v>
      </c>
      <c r="Z345" s="3">
        <v>0.218999061891885</v>
      </c>
    </row>
    <row r="346" spans="2:26">
      <c r="B346" s="1">
        <v>55</v>
      </c>
      <c r="C346" s="1">
        <v>8</v>
      </c>
      <c r="D346" s="1">
        <v>8</v>
      </c>
      <c r="E346" s="1">
        <v>0</v>
      </c>
      <c r="F346" s="2">
        <v>2</v>
      </c>
      <c r="G346" s="1">
        <v>21.5</v>
      </c>
      <c r="H346" s="3">
        <v>0.89760467536325</v>
      </c>
      <c r="I346" s="4">
        <v>40.1</v>
      </c>
      <c r="J346" s="1">
        <v>28</v>
      </c>
      <c r="K346" s="4">
        <v>135.376344367265</v>
      </c>
      <c r="L346" s="13">
        <v>12.5911728242968</v>
      </c>
      <c r="M346" s="9">
        <v>0.188077667156244</v>
      </c>
      <c r="O346" s="1">
        <v>55</v>
      </c>
      <c r="P346" s="1">
        <v>8</v>
      </c>
      <c r="Q346" s="1">
        <v>8</v>
      </c>
      <c r="R346" s="1">
        <v>0</v>
      </c>
      <c r="S346" s="2">
        <v>2</v>
      </c>
      <c r="T346" s="1">
        <v>21.5</v>
      </c>
      <c r="U346" s="17">
        <v>0.89760467536325</v>
      </c>
      <c r="V346" s="4">
        <v>40.1</v>
      </c>
      <c r="W346" s="1">
        <v>28</v>
      </c>
      <c r="X346" s="13">
        <v>135.376344367265</v>
      </c>
      <c r="Y346" s="9">
        <v>12.5911728242968</v>
      </c>
      <c r="Z346" s="3">
        <v>0.188077667156244</v>
      </c>
    </row>
    <row r="347" spans="2:26">
      <c r="B347" s="1">
        <v>60</v>
      </c>
      <c r="C347" s="1">
        <v>8</v>
      </c>
      <c r="D347" s="1">
        <v>8</v>
      </c>
      <c r="E347" s="1">
        <v>0</v>
      </c>
      <c r="F347" s="2">
        <v>2</v>
      </c>
      <c r="G347" s="1">
        <v>21.5</v>
      </c>
      <c r="H347" s="3">
        <v>0.868253123396246</v>
      </c>
      <c r="I347" s="4">
        <v>43.9</v>
      </c>
      <c r="J347" s="1">
        <v>30.8</v>
      </c>
      <c r="K347" s="4">
        <v>165.620922012326</v>
      </c>
      <c r="L347" s="13">
        <v>12.0310714083706</v>
      </c>
      <c r="M347" s="9">
        <v>0.160253745478932</v>
      </c>
      <c r="O347" s="1">
        <v>60</v>
      </c>
      <c r="P347" s="1">
        <v>8</v>
      </c>
      <c r="Q347" s="1">
        <v>8</v>
      </c>
      <c r="R347" s="1">
        <v>0</v>
      </c>
      <c r="S347" s="2">
        <v>2</v>
      </c>
      <c r="T347" s="1">
        <v>21.5</v>
      </c>
      <c r="U347" s="17">
        <v>0.868253123396246</v>
      </c>
      <c r="V347" s="4">
        <v>43.9</v>
      </c>
      <c r="W347" s="1">
        <v>30.8</v>
      </c>
      <c r="X347" s="13">
        <v>165.620922012326</v>
      </c>
      <c r="Y347" s="9">
        <v>12.0310714083706</v>
      </c>
      <c r="Z347" s="3">
        <v>0.160253745478932</v>
      </c>
    </row>
    <row r="348" spans="2:26">
      <c r="B348" s="1">
        <v>65</v>
      </c>
      <c r="C348" s="1">
        <v>8</v>
      </c>
      <c r="D348" s="1">
        <v>8</v>
      </c>
      <c r="E348" s="1">
        <v>0</v>
      </c>
      <c r="F348" s="2">
        <v>2</v>
      </c>
      <c r="G348" s="1">
        <v>21.5</v>
      </c>
      <c r="H348" s="3">
        <v>0.831152647810126</v>
      </c>
      <c r="I348" s="4">
        <v>48.2</v>
      </c>
      <c r="J348" s="1">
        <v>34.3</v>
      </c>
      <c r="K348" s="4">
        <v>201.250259908709</v>
      </c>
      <c r="L348" s="13">
        <v>12.2528067596734</v>
      </c>
      <c r="M348" s="9">
        <v>0.139879545681759</v>
      </c>
      <c r="O348" s="1">
        <v>65</v>
      </c>
      <c r="P348" s="1">
        <v>8</v>
      </c>
      <c r="Q348" s="1">
        <v>8</v>
      </c>
      <c r="R348" s="1">
        <v>0</v>
      </c>
      <c r="S348" s="2">
        <v>2</v>
      </c>
      <c r="T348" s="1">
        <v>21.5</v>
      </c>
      <c r="U348" s="17">
        <v>0.831152647810126</v>
      </c>
      <c r="V348" s="4">
        <v>48.2</v>
      </c>
      <c r="W348" s="1">
        <v>34.3</v>
      </c>
      <c r="X348" s="13">
        <v>201.250259908709</v>
      </c>
      <c r="Y348" s="9">
        <v>12.2528067596734</v>
      </c>
      <c r="Z348" s="3">
        <v>0.139879545681759</v>
      </c>
    </row>
    <row r="349" spans="2:26">
      <c r="B349" s="1">
        <v>70</v>
      </c>
      <c r="C349" s="1">
        <v>8</v>
      </c>
      <c r="D349" s="1">
        <v>8</v>
      </c>
      <c r="E349" s="1">
        <v>0</v>
      </c>
      <c r="F349" s="2">
        <v>2</v>
      </c>
      <c r="G349" s="1">
        <v>21.5</v>
      </c>
      <c r="H349" s="3">
        <v>0.784179277129304</v>
      </c>
      <c r="I349" s="4">
        <v>53.3</v>
      </c>
      <c r="J349" s="1">
        <v>38.2</v>
      </c>
      <c r="K349" s="4">
        <v>241.472883668465</v>
      </c>
      <c r="L349" s="13">
        <v>12.6612925319143</v>
      </c>
      <c r="M349" s="9">
        <v>0.126687231064751</v>
      </c>
      <c r="O349" s="1">
        <v>70</v>
      </c>
      <c r="P349" s="1">
        <v>8</v>
      </c>
      <c r="Q349" s="1">
        <v>8</v>
      </c>
      <c r="R349" s="1">
        <v>0</v>
      </c>
      <c r="S349" s="2">
        <v>2</v>
      </c>
      <c r="T349" s="1">
        <v>21.5</v>
      </c>
      <c r="U349" s="17">
        <v>0.784179277129304</v>
      </c>
      <c r="V349" s="4">
        <v>53.3</v>
      </c>
      <c r="W349" s="1">
        <v>38.2</v>
      </c>
      <c r="X349" s="13">
        <v>241.472883668465</v>
      </c>
      <c r="Y349" s="9">
        <v>12.6612925319143</v>
      </c>
      <c r="Z349" s="3">
        <v>0.126687231064751</v>
      </c>
    </row>
    <row r="350" spans="2:26">
      <c r="B350" s="1">
        <v>65</v>
      </c>
      <c r="C350" s="1">
        <v>5</v>
      </c>
      <c r="D350" s="1">
        <v>0.078</v>
      </c>
      <c r="E350" s="1">
        <v>1</v>
      </c>
      <c r="F350" s="2">
        <v>0</v>
      </c>
      <c r="G350" s="1">
        <v>20</v>
      </c>
      <c r="H350" s="3">
        <v>0.831152647810126</v>
      </c>
      <c r="I350" s="4">
        <v>20.1</v>
      </c>
      <c r="J350" s="1">
        <v>7.1</v>
      </c>
      <c r="K350" s="7">
        <v>332.629073784697</v>
      </c>
      <c r="L350" s="8">
        <v>52.2486023402028</v>
      </c>
      <c r="M350" s="9">
        <v>0.9247854551027</v>
      </c>
      <c r="O350" s="1">
        <v>65</v>
      </c>
      <c r="P350" s="1">
        <v>5</v>
      </c>
      <c r="Q350" s="1">
        <v>0.078</v>
      </c>
      <c r="R350" s="1">
        <v>1</v>
      </c>
      <c r="S350" s="2">
        <v>0</v>
      </c>
      <c r="T350" s="1">
        <v>20</v>
      </c>
      <c r="U350" s="17">
        <v>0.831152647810126</v>
      </c>
      <c r="V350" s="4">
        <v>20.1</v>
      </c>
      <c r="W350" s="1">
        <v>7.1</v>
      </c>
      <c r="X350" s="8">
        <v>332.629073784697</v>
      </c>
      <c r="Y350" s="18">
        <v>52.2486023402028</v>
      </c>
      <c r="Z350" s="3">
        <v>0.9247854551027</v>
      </c>
    </row>
    <row r="351" spans="2:26">
      <c r="B351" s="1">
        <v>65</v>
      </c>
      <c r="C351" s="1">
        <v>5.8</v>
      </c>
      <c r="D351" s="1">
        <v>0.078</v>
      </c>
      <c r="E351" s="1">
        <v>1</v>
      </c>
      <c r="F351" s="2">
        <v>0</v>
      </c>
      <c r="G351" s="1">
        <v>20</v>
      </c>
      <c r="H351" s="3">
        <v>0.831152647810126</v>
      </c>
      <c r="I351" s="4">
        <v>20.1</v>
      </c>
      <c r="J351" s="1">
        <v>8.1</v>
      </c>
      <c r="K351" s="7">
        <v>382.611758355796</v>
      </c>
      <c r="L351" s="8">
        <v>60.4803887408466</v>
      </c>
      <c r="M351" s="9">
        <v>0.909528994155164</v>
      </c>
      <c r="O351" s="1">
        <v>65</v>
      </c>
      <c r="P351" s="1">
        <v>5.8</v>
      </c>
      <c r="Q351" s="1">
        <v>0.078</v>
      </c>
      <c r="R351" s="1">
        <v>1</v>
      </c>
      <c r="S351" s="2">
        <v>0</v>
      </c>
      <c r="T351" s="1">
        <v>20</v>
      </c>
      <c r="U351" s="17">
        <v>0.831152647810126</v>
      </c>
      <c r="V351" s="4">
        <v>20.1</v>
      </c>
      <c r="W351" s="1">
        <v>8.1</v>
      </c>
      <c r="X351" s="8">
        <v>382.611758355796</v>
      </c>
      <c r="Y351" s="18">
        <v>60.4803887408466</v>
      </c>
      <c r="Z351" s="3">
        <v>0.909528994155164</v>
      </c>
    </row>
    <row r="352" spans="2:26">
      <c r="B352" s="1">
        <v>65</v>
      </c>
      <c r="C352" s="1">
        <v>6.6</v>
      </c>
      <c r="D352" s="1">
        <v>0.078</v>
      </c>
      <c r="E352" s="1">
        <v>1</v>
      </c>
      <c r="F352" s="2">
        <v>0</v>
      </c>
      <c r="G352" s="1">
        <v>20</v>
      </c>
      <c r="H352" s="3">
        <v>0.831152647810126</v>
      </c>
      <c r="I352" s="4">
        <v>20.1</v>
      </c>
      <c r="J352" s="1">
        <v>9.1</v>
      </c>
      <c r="K352" s="7">
        <v>432.59028601637</v>
      </c>
      <c r="L352" s="8">
        <v>68.9267071090611</v>
      </c>
      <c r="M352" s="9">
        <v>0.897974194067266</v>
      </c>
      <c r="O352" s="1">
        <v>65</v>
      </c>
      <c r="P352" s="1">
        <v>6.6</v>
      </c>
      <c r="Q352" s="1">
        <v>0.078</v>
      </c>
      <c r="R352" s="1">
        <v>1</v>
      </c>
      <c r="S352" s="2">
        <v>0</v>
      </c>
      <c r="T352" s="1">
        <v>20</v>
      </c>
      <c r="U352" s="17">
        <v>0.831152647810126</v>
      </c>
      <c r="V352" s="4">
        <v>20.1</v>
      </c>
      <c r="W352" s="1">
        <v>9.1</v>
      </c>
      <c r="X352" s="8">
        <v>432.59028601637</v>
      </c>
      <c r="Y352" s="18">
        <v>68.9267071090611</v>
      </c>
      <c r="Z352" s="3">
        <v>0.897974194067266</v>
      </c>
    </row>
    <row r="353" spans="2:26">
      <c r="B353" s="1">
        <v>65</v>
      </c>
      <c r="C353" s="1">
        <v>7.4</v>
      </c>
      <c r="D353" s="1">
        <v>0.078</v>
      </c>
      <c r="E353" s="1">
        <v>1</v>
      </c>
      <c r="F353" s="2">
        <v>0</v>
      </c>
      <c r="G353" s="1">
        <v>20</v>
      </c>
      <c r="H353" s="3">
        <v>0.831152647810126</v>
      </c>
      <c r="I353" s="4">
        <v>20.1</v>
      </c>
      <c r="J353" s="1">
        <v>10.2</v>
      </c>
      <c r="K353" s="7">
        <v>484.93444660105</v>
      </c>
      <c r="L353" s="8">
        <v>78.185898515411</v>
      </c>
      <c r="M353" s="9">
        <v>0.897721709411348</v>
      </c>
      <c r="O353" s="1">
        <v>65</v>
      </c>
      <c r="P353" s="1">
        <v>7.4</v>
      </c>
      <c r="Q353" s="1">
        <v>0.078</v>
      </c>
      <c r="R353" s="1">
        <v>1</v>
      </c>
      <c r="S353" s="2">
        <v>0</v>
      </c>
      <c r="T353" s="1">
        <v>20</v>
      </c>
      <c r="U353" s="17">
        <v>0.831152647810126</v>
      </c>
      <c r="V353" s="4">
        <v>20.1</v>
      </c>
      <c r="W353" s="1">
        <v>10.2</v>
      </c>
      <c r="X353" s="8">
        <v>484.93444660105</v>
      </c>
      <c r="Y353" s="18">
        <v>78.185898515411</v>
      </c>
      <c r="Z353" s="3">
        <v>0.897721709411348</v>
      </c>
    </row>
    <row r="354" spans="2:26">
      <c r="B354" s="1">
        <v>65</v>
      </c>
      <c r="C354" s="1">
        <v>8.2</v>
      </c>
      <c r="D354" s="1">
        <v>0.078</v>
      </c>
      <c r="E354" s="1">
        <v>1</v>
      </c>
      <c r="F354" s="2">
        <v>0</v>
      </c>
      <c r="G354" s="1">
        <v>20</v>
      </c>
      <c r="H354" s="3">
        <v>0.831152647810126</v>
      </c>
      <c r="I354" s="4">
        <v>20.1</v>
      </c>
      <c r="J354" s="1">
        <v>11.1</v>
      </c>
      <c r="K354" s="7">
        <v>532.534863276489</v>
      </c>
      <c r="L354" s="8">
        <v>86.5925643989112</v>
      </c>
      <c r="M354" s="9">
        <v>0.88163592473227</v>
      </c>
      <c r="O354" s="1">
        <v>65</v>
      </c>
      <c r="P354" s="1">
        <v>8.2</v>
      </c>
      <c r="Q354" s="1">
        <v>0.078</v>
      </c>
      <c r="R354" s="1">
        <v>1</v>
      </c>
      <c r="S354" s="2">
        <v>0</v>
      </c>
      <c r="T354" s="1">
        <v>20</v>
      </c>
      <c r="U354" s="17">
        <v>0.831152647810126</v>
      </c>
      <c r="V354" s="4">
        <v>20.1</v>
      </c>
      <c r="W354" s="1">
        <v>11.1</v>
      </c>
      <c r="X354" s="8">
        <v>532.534863276489</v>
      </c>
      <c r="Y354" s="18">
        <v>86.5925643989112</v>
      </c>
      <c r="Z354" s="3">
        <v>0.88163592473227</v>
      </c>
    </row>
    <row r="355" spans="2:26">
      <c r="B355" s="1">
        <v>65</v>
      </c>
      <c r="C355" s="1">
        <v>9</v>
      </c>
      <c r="D355" s="1">
        <v>0.078</v>
      </c>
      <c r="E355" s="1">
        <v>1</v>
      </c>
      <c r="F355" s="2">
        <v>0</v>
      </c>
      <c r="G355" s="1">
        <v>20</v>
      </c>
      <c r="H355" s="3">
        <v>0.831152647810126</v>
      </c>
      <c r="I355" s="4">
        <v>20.2</v>
      </c>
      <c r="J355" s="1">
        <v>12</v>
      </c>
      <c r="K355" s="7">
        <v>580.131117541356</v>
      </c>
      <c r="L355" s="8">
        <v>95.2514817676482</v>
      </c>
      <c r="M355" s="9">
        <v>0.868411897523004</v>
      </c>
      <c r="O355" s="1">
        <v>65</v>
      </c>
      <c r="P355" s="1">
        <v>9</v>
      </c>
      <c r="Q355" s="1">
        <v>0.078</v>
      </c>
      <c r="R355" s="1">
        <v>1</v>
      </c>
      <c r="S355" s="2">
        <v>0</v>
      </c>
      <c r="T355" s="1">
        <v>20</v>
      </c>
      <c r="U355" s="17">
        <v>0.831152647810126</v>
      </c>
      <c r="V355" s="4">
        <v>20.2</v>
      </c>
      <c r="W355" s="1">
        <v>12</v>
      </c>
      <c r="X355" s="8">
        <v>580.131117541356</v>
      </c>
      <c r="Y355" s="18">
        <v>95.2514817676482</v>
      </c>
      <c r="Z355" s="3">
        <v>0.868411897523004</v>
      </c>
    </row>
    <row r="356" spans="2:26">
      <c r="B356" s="1">
        <v>65</v>
      </c>
      <c r="C356" s="1">
        <v>9.8</v>
      </c>
      <c r="D356" s="1">
        <v>0.078</v>
      </c>
      <c r="E356" s="1">
        <v>1</v>
      </c>
      <c r="F356" s="2">
        <v>0</v>
      </c>
      <c r="G356" s="1">
        <v>20</v>
      </c>
      <c r="H356" s="3">
        <v>0.831152647810126</v>
      </c>
      <c r="I356" s="4">
        <v>20.2</v>
      </c>
      <c r="J356" s="1">
        <v>13</v>
      </c>
      <c r="K356" s="7">
        <v>630.092999226341</v>
      </c>
      <c r="L356" s="8">
        <v>104.850272623783</v>
      </c>
      <c r="M356" s="9">
        <v>0.863994903864628</v>
      </c>
      <c r="O356" s="1">
        <v>65</v>
      </c>
      <c r="P356" s="1">
        <v>9.8</v>
      </c>
      <c r="Q356" s="1">
        <v>0.078</v>
      </c>
      <c r="R356" s="1">
        <v>1</v>
      </c>
      <c r="S356" s="2">
        <v>0</v>
      </c>
      <c r="T356" s="1">
        <v>20</v>
      </c>
      <c r="U356" s="17">
        <v>0.831152647810126</v>
      </c>
      <c r="V356" s="4">
        <v>20.2</v>
      </c>
      <c r="W356" s="1">
        <v>13</v>
      </c>
      <c r="X356" s="8">
        <v>630.092999226341</v>
      </c>
      <c r="Y356" s="18">
        <v>104.850272623783</v>
      </c>
      <c r="Z356" s="3">
        <v>0.863994903864628</v>
      </c>
    </row>
    <row r="357" spans="2:26">
      <c r="B357" s="1">
        <v>60</v>
      </c>
      <c r="C357" s="1">
        <v>5</v>
      </c>
      <c r="D357" s="1">
        <v>0.078</v>
      </c>
      <c r="E357" s="1">
        <v>1</v>
      </c>
      <c r="F357" s="2">
        <v>0</v>
      </c>
      <c r="G357" s="1">
        <v>20</v>
      </c>
      <c r="H357" s="3">
        <v>0.868253123396246</v>
      </c>
      <c r="I357" s="4">
        <v>20.1</v>
      </c>
      <c r="J357" s="1">
        <v>5.6</v>
      </c>
      <c r="K357" s="7">
        <v>263.232132923544</v>
      </c>
      <c r="L357" s="8">
        <v>44.8234565922012</v>
      </c>
      <c r="M357" s="9">
        <v>0.888237851904315</v>
      </c>
      <c r="O357" s="1">
        <v>60</v>
      </c>
      <c r="P357" s="1">
        <v>5</v>
      </c>
      <c r="Q357" s="1">
        <v>0.078</v>
      </c>
      <c r="R357" s="1">
        <v>1</v>
      </c>
      <c r="S357" s="2">
        <v>0</v>
      </c>
      <c r="T357" s="1">
        <v>20</v>
      </c>
      <c r="U357" s="17">
        <v>0.868253123396246</v>
      </c>
      <c r="V357" s="4">
        <v>20.1</v>
      </c>
      <c r="W357" s="1">
        <v>5.6</v>
      </c>
      <c r="X357" s="8">
        <v>263.232132923544</v>
      </c>
      <c r="Y357" s="18">
        <v>44.8234565922012</v>
      </c>
      <c r="Z357" s="3">
        <v>0.888237851904315</v>
      </c>
    </row>
    <row r="358" spans="2:26">
      <c r="B358" s="1">
        <v>60</v>
      </c>
      <c r="C358" s="1">
        <v>5.8</v>
      </c>
      <c r="D358" s="1">
        <v>0.078</v>
      </c>
      <c r="E358" s="1">
        <v>1</v>
      </c>
      <c r="F358" s="2">
        <v>0</v>
      </c>
      <c r="G358" s="1">
        <v>20</v>
      </c>
      <c r="H358" s="3">
        <v>0.868253123396246</v>
      </c>
      <c r="I358" s="4">
        <v>20.1</v>
      </c>
      <c r="J358" s="1">
        <v>6.3</v>
      </c>
      <c r="K358" s="7">
        <v>300.689132743304</v>
      </c>
      <c r="L358" s="8">
        <v>51.2467089465552</v>
      </c>
      <c r="M358" s="9">
        <v>0.861451320835799</v>
      </c>
      <c r="O358" s="1">
        <v>60</v>
      </c>
      <c r="P358" s="1">
        <v>5.8</v>
      </c>
      <c r="Q358" s="1">
        <v>0.078</v>
      </c>
      <c r="R358" s="1">
        <v>1</v>
      </c>
      <c r="S358" s="2">
        <v>0</v>
      </c>
      <c r="T358" s="1">
        <v>20</v>
      </c>
      <c r="U358" s="17">
        <v>0.868253123396246</v>
      </c>
      <c r="V358" s="4">
        <v>20.1</v>
      </c>
      <c r="W358" s="1">
        <v>6.3</v>
      </c>
      <c r="X358" s="8">
        <v>300.689132743304</v>
      </c>
      <c r="Y358" s="18">
        <v>51.2467089465552</v>
      </c>
      <c r="Z358" s="3">
        <v>0.861451320835799</v>
      </c>
    </row>
    <row r="359" spans="2:26">
      <c r="B359" s="1">
        <v>60</v>
      </c>
      <c r="C359" s="1">
        <v>6.6</v>
      </c>
      <c r="D359" s="1">
        <v>0.078</v>
      </c>
      <c r="E359" s="1">
        <v>1</v>
      </c>
      <c r="F359" s="2">
        <v>0</v>
      </c>
      <c r="G359" s="1">
        <v>20</v>
      </c>
      <c r="H359" s="3">
        <v>0.868253123396246</v>
      </c>
      <c r="I359" s="4">
        <v>20.1</v>
      </c>
      <c r="J359" s="1">
        <v>7.1</v>
      </c>
      <c r="K359" s="7">
        <v>340.511684375076</v>
      </c>
      <c r="L359" s="8">
        <v>58.3143003980027</v>
      </c>
      <c r="M359" s="9">
        <v>0.853177767523035</v>
      </c>
      <c r="O359" s="1">
        <v>60</v>
      </c>
      <c r="P359" s="1">
        <v>6.6</v>
      </c>
      <c r="Q359" s="1">
        <v>0.078</v>
      </c>
      <c r="R359" s="1">
        <v>1</v>
      </c>
      <c r="S359" s="2">
        <v>0</v>
      </c>
      <c r="T359" s="1">
        <v>20</v>
      </c>
      <c r="U359" s="17">
        <v>0.868253123396246</v>
      </c>
      <c r="V359" s="4">
        <v>20.1</v>
      </c>
      <c r="W359" s="1">
        <v>7.1</v>
      </c>
      <c r="X359" s="8">
        <v>340.511684375076</v>
      </c>
      <c r="Y359" s="18">
        <v>58.3143003980027</v>
      </c>
      <c r="Z359" s="3">
        <v>0.853177767523035</v>
      </c>
    </row>
    <row r="360" spans="2:26">
      <c r="B360" s="1">
        <v>60</v>
      </c>
      <c r="C360" s="1">
        <v>7.4</v>
      </c>
      <c r="D360" s="1">
        <v>0.078</v>
      </c>
      <c r="E360" s="1">
        <v>1</v>
      </c>
      <c r="F360" s="2">
        <v>0</v>
      </c>
      <c r="G360" s="1">
        <v>20</v>
      </c>
      <c r="H360" s="3">
        <v>0.868253123396246</v>
      </c>
      <c r="I360" s="4">
        <v>20.1</v>
      </c>
      <c r="J360" s="1">
        <v>7.9</v>
      </c>
      <c r="K360" s="7">
        <v>380.329994173585</v>
      </c>
      <c r="L360" s="8">
        <v>65.5385414312466</v>
      </c>
      <c r="M360" s="9">
        <v>0.84669582741512</v>
      </c>
      <c r="O360" s="1">
        <v>60</v>
      </c>
      <c r="P360" s="1">
        <v>7.4</v>
      </c>
      <c r="Q360" s="1">
        <v>0.078</v>
      </c>
      <c r="R360" s="1">
        <v>1</v>
      </c>
      <c r="S360" s="2">
        <v>0</v>
      </c>
      <c r="T360" s="1">
        <v>20</v>
      </c>
      <c r="U360" s="17">
        <v>0.868253123396246</v>
      </c>
      <c r="V360" s="4">
        <v>20.1</v>
      </c>
      <c r="W360" s="1">
        <v>7.9</v>
      </c>
      <c r="X360" s="8">
        <v>380.329994173585</v>
      </c>
      <c r="Y360" s="18">
        <v>65.5385414312466</v>
      </c>
      <c r="Z360" s="3">
        <v>0.84669582741512</v>
      </c>
    </row>
    <row r="361" spans="2:26">
      <c r="B361" s="1">
        <v>60</v>
      </c>
      <c r="C361" s="1">
        <v>8.2</v>
      </c>
      <c r="D361" s="1">
        <v>0.078</v>
      </c>
      <c r="E361" s="1">
        <v>1</v>
      </c>
      <c r="F361" s="2">
        <v>0</v>
      </c>
      <c r="G361" s="1">
        <v>20</v>
      </c>
      <c r="H361" s="3">
        <v>0.868253123396246</v>
      </c>
      <c r="I361" s="4">
        <v>20.1</v>
      </c>
      <c r="J361" s="1">
        <v>8.6</v>
      </c>
      <c r="K361" s="7">
        <v>417.774268492149</v>
      </c>
      <c r="L361" s="8">
        <v>72.34097909275</v>
      </c>
      <c r="M361" s="9">
        <v>0.831808929065909</v>
      </c>
      <c r="O361" s="1">
        <v>60</v>
      </c>
      <c r="P361" s="1">
        <v>8.2</v>
      </c>
      <c r="Q361" s="1">
        <v>0.078</v>
      </c>
      <c r="R361" s="1">
        <v>1</v>
      </c>
      <c r="S361" s="2">
        <v>0</v>
      </c>
      <c r="T361" s="1">
        <v>20</v>
      </c>
      <c r="U361" s="17">
        <v>0.868253123396246</v>
      </c>
      <c r="V361" s="4">
        <v>20.1</v>
      </c>
      <c r="W361" s="1">
        <v>8.6</v>
      </c>
      <c r="X361" s="8">
        <v>417.774268492149</v>
      </c>
      <c r="Y361" s="18">
        <v>72.34097909275</v>
      </c>
      <c r="Z361" s="3">
        <v>0.831808929065909</v>
      </c>
    </row>
    <row r="362" spans="2:26">
      <c r="B362" s="1">
        <v>60</v>
      </c>
      <c r="C362" s="1">
        <v>9</v>
      </c>
      <c r="D362" s="1">
        <v>0.078</v>
      </c>
      <c r="E362" s="1">
        <v>1</v>
      </c>
      <c r="F362" s="2">
        <v>0</v>
      </c>
      <c r="G362" s="1">
        <v>20</v>
      </c>
      <c r="H362" s="3">
        <v>0.868253123396246</v>
      </c>
      <c r="I362" s="4">
        <v>20.2</v>
      </c>
      <c r="J362" s="1">
        <v>9.3</v>
      </c>
      <c r="K362" s="7">
        <v>455.214297016004</v>
      </c>
      <c r="L362" s="8">
        <v>79.2919625984819</v>
      </c>
      <c r="M362" s="9">
        <v>0.819570559408059</v>
      </c>
      <c r="O362" s="1">
        <v>60</v>
      </c>
      <c r="P362" s="1">
        <v>9</v>
      </c>
      <c r="Q362" s="1">
        <v>0.078</v>
      </c>
      <c r="R362" s="1">
        <v>1</v>
      </c>
      <c r="S362" s="2">
        <v>0</v>
      </c>
      <c r="T362" s="1">
        <v>20</v>
      </c>
      <c r="U362" s="17">
        <v>0.868253123396246</v>
      </c>
      <c r="V362" s="4">
        <v>20.2</v>
      </c>
      <c r="W362" s="1">
        <v>9.3</v>
      </c>
      <c r="X362" s="8">
        <v>455.214297016004</v>
      </c>
      <c r="Y362" s="18">
        <v>79.2919625984819</v>
      </c>
      <c r="Z362" s="3">
        <v>0.819570559408059</v>
      </c>
    </row>
    <row r="363" spans="2:26">
      <c r="B363" s="1">
        <v>60</v>
      </c>
      <c r="C363" s="1">
        <v>9.8</v>
      </c>
      <c r="D363" s="1">
        <v>0.078</v>
      </c>
      <c r="E363" s="1">
        <v>1</v>
      </c>
      <c r="F363" s="2">
        <v>0</v>
      </c>
      <c r="G363" s="1">
        <v>20</v>
      </c>
      <c r="H363" s="3">
        <v>0.868253123396246</v>
      </c>
      <c r="I363" s="4">
        <v>20.2</v>
      </c>
      <c r="J363" s="1">
        <v>10</v>
      </c>
      <c r="K363" s="7">
        <v>492.650077762311</v>
      </c>
      <c r="L363" s="8">
        <v>86.4082290610658</v>
      </c>
      <c r="M363" s="9">
        <v>0.809332099170219</v>
      </c>
      <c r="O363" s="1">
        <v>60</v>
      </c>
      <c r="P363" s="1">
        <v>9.8</v>
      </c>
      <c r="Q363" s="1">
        <v>0.078</v>
      </c>
      <c r="R363" s="1">
        <v>1</v>
      </c>
      <c r="S363" s="2">
        <v>0</v>
      </c>
      <c r="T363" s="1">
        <v>20</v>
      </c>
      <c r="U363" s="17">
        <v>0.868253123396246</v>
      </c>
      <c r="V363" s="4">
        <v>20.2</v>
      </c>
      <c r="W363" s="1">
        <v>10</v>
      </c>
      <c r="X363" s="8">
        <v>492.650077762311</v>
      </c>
      <c r="Y363" s="18">
        <v>86.4082290610658</v>
      </c>
      <c r="Z363" s="3">
        <v>0.809332099170219</v>
      </c>
    </row>
    <row r="364" spans="2:26">
      <c r="B364" s="1">
        <v>55</v>
      </c>
      <c r="C364" s="1">
        <v>5</v>
      </c>
      <c r="D364" s="1">
        <v>0.078</v>
      </c>
      <c r="E364" s="1">
        <v>1</v>
      </c>
      <c r="F364" s="2">
        <v>0</v>
      </c>
      <c r="G364" s="1">
        <v>20</v>
      </c>
      <c r="H364" s="3">
        <v>0.89760467536325</v>
      </c>
      <c r="I364" s="4">
        <v>20.1</v>
      </c>
      <c r="J364" s="1">
        <v>4.3</v>
      </c>
      <c r="K364" s="7">
        <v>204.011428189397</v>
      </c>
      <c r="L364" s="8">
        <v>38.1811237911273</v>
      </c>
      <c r="M364" s="9">
        <v>0.834442620271425</v>
      </c>
      <c r="O364" s="1">
        <v>55</v>
      </c>
      <c r="P364" s="1">
        <v>5</v>
      </c>
      <c r="Q364" s="1">
        <v>0.078</v>
      </c>
      <c r="R364" s="1">
        <v>1</v>
      </c>
      <c r="S364" s="2">
        <v>0</v>
      </c>
      <c r="T364" s="1">
        <v>20</v>
      </c>
      <c r="U364" s="17">
        <v>0.89760467536325</v>
      </c>
      <c r="V364" s="4">
        <v>20.1</v>
      </c>
      <c r="W364" s="1">
        <v>4.3</v>
      </c>
      <c r="X364" s="8">
        <v>204.011428189397</v>
      </c>
      <c r="Y364" s="18">
        <v>38.1811237911273</v>
      </c>
      <c r="Z364" s="3">
        <v>0.834442620271425</v>
      </c>
    </row>
    <row r="365" spans="2:26">
      <c r="B365" s="1">
        <v>55</v>
      </c>
      <c r="C365" s="1">
        <v>5.8</v>
      </c>
      <c r="D365" s="1">
        <v>0.078</v>
      </c>
      <c r="E365" s="1">
        <v>1</v>
      </c>
      <c r="F365" s="2">
        <v>0</v>
      </c>
      <c r="G365" s="1">
        <v>20</v>
      </c>
      <c r="H365" s="3">
        <v>0.89760467536325</v>
      </c>
      <c r="I365" s="4">
        <v>20.1</v>
      </c>
      <c r="J365" s="1">
        <v>4.9</v>
      </c>
      <c r="K365" s="7">
        <v>234.552229986073</v>
      </c>
      <c r="L365" s="8">
        <v>43.8899707955912</v>
      </c>
      <c r="M365" s="9">
        <v>0.819734286880181</v>
      </c>
      <c r="O365" s="1">
        <v>55</v>
      </c>
      <c r="P365" s="1">
        <v>5.8</v>
      </c>
      <c r="Q365" s="1">
        <v>0.078</v>
      </c>
      <c r="R365" s="1">
        <v>1</v>
      </c>
      <c r="S365" s="2">
        <v>0</v>
      </c>
      <c r="T365" s="1">
        <v>20</v>
      </c>
      <c r="U365" s="17">
        <v>0.89760467536325</v>
      </c>
      <c r="V365" s="4">
        <v>20.1</v>
      </c>
      <c r="W365" s="1">
        <v>4.9</v>
      </c>
      <c r="X365" s="8">
        <v>234.552229986073</v>
      </c>
      <c r="Y365" s="18">
        <v>43.8899707955912</v>
      </c>
      <c r="Z365" s="3">
        <v>0.819734286880181</v>
      </c>
    </row>
    <row r="366" spans="2:26">
      <c r="B366" s="1">
        <v>55</v>
      </c>
      <c r="C366" s="1">
        <v>6.6</v>
      </c>
      <c r="D366" s="1">
        <v>0.078</v>
      </c>
      <c r="E366" s="1">
        <v>1</v>
      </c>
      <c r="F366" s="2">
        <v>0</v>
      </c>
      <c r="G366" s="1">
        <v>20</v>
      </c>
      <c r="H366" s="3">
        <v>0.89760467536325</v>
      </c>
      <c r="I366" s="4">
        <v>20.1</v>
      </c>
      <c r="J366" s="1">
        <v>5.5</v>
      </c>
      <c r="K366" s="7">
        <v>265.088719787581</v>
      </c>
      <c r="L366" s="8">
        <v>49.6671759222414</v>
      </c>
      <c r="M366" s="9">
        <v>0.808594448383703</v>
      </c>
      <c r="O366" s="1">
        <v>55</v>
      </c>
      <c r="P366" s="1">
        <v>6.6</v>
      </c>
      <c r="Q366" s="1">
        <v>0.078</v>
      </c>
      <c r="R366" s="1">
        <v>1</v>
      </c>
      <c r="S366" s="2">
        <v>0</v>
      </c>
      <c r="T366" s="1">
        <v>20</v>
      </c>
      <c r="U366" s="17">
        <v>0.89760467536325</v>
      </c>
      <c r="V366" s="4">
        <v>20.1</v>
      </c>
      <c r="W366" s="1">
        <v>5.5</v>
      </c>
      <c r="X366" s="8">
        <v>265.088719787581</v>
      </c>
      <c r="Y366" s="18">
        <v>49.6671759222414</v>
      </c>
      <c r="Z366" s="3">
        <v>0.808594448383703</v>
      </c>
    </row>
    <row r="367" spans="2:26">
      <c r="B367" s="1">
        <v>55</v>
      </c>
      <c r="C367" s="1">
        <v>7.4</v>
      </c>
      <c r="D367" s="1">
        <v>0.078</v>
      </c>
      <c r="E367" s="1">
        <v>1</v>
      </c>
      <c r="F367" s="2">
        <v>0</v>
      </c>
      <c r="G367" s="1">
        <v>20</v>
      </c>
      <c r="H367" s="3">
        <v>0.89760467536325</v>
      </c>
      <c r="I367" s="4">
        <v>20.1</v>
      </c>
      <c r="J367" s="1">
        <v>6.1</v>
      </c>
      <c r="K367" s="7">
        <v>295.620895490356</v>
      </c>
      <c r="L367" s="8">
        <v>55.5284592618598</v>
      </c>
      <c r="M367" s="9">
        <v>0.79986575508639</v>
      </c>
      <c r="O367" s="1">
        <v>55</v>
      </c>
      <c r="P367" s="1">
        <v>7.4</v>
      </c>
      <c r="Q367" s="1">
        <v>0.078</v>
      </c>
      <c r="R367" s="1">
        <v>1</v>
      </c>
      <c r="S367" s="2">
        <v>0</v>
      </c>
      <c r="T367" s="1">
        <v>20</v>
      </c>
      <c r="U367" s="17">
        <v>0.89760467536325</v>
      </c>
      <c r="V367" s="4">
        <v>20.1</v>
      </c>
      <c r="W367" s="1">
        <v>6.1</v>
      </c>
      <c r="X367" s="8">
        <v>295.620895490356</v>
      </c>
      <c r="Y367" s="18">
        <v>55.5284592618598</v>
      </c>
      <c r="Z367" s="3">
        <v>0.79986575508639</v>
      </c>
    </row>
    <row r="368" spans="2:26">
      <c r="B368" s="1">
        <v>55</v>
      </c>
      <c r="C368" s="1">
        <v>8.2</v>
      </c>
      <c r="D368" s="1">
        <v>0.078</v>
      </c>
      <c r="E368" s="1">
        <v>1</v>
      </c>
      <c r="F368" s="2">
        <v>0</v>
      </c>
      <c r="G368" s="1">
        <v>20</v>
      </c>
      <c r="H368" s="3">
        <v>0.89760467536325</v>
      </c>
      <c r="I368" s="4">
        <v>20.1</v>
      </c>
      <c r="J368" s="1">
        <v>6.6</v>
      </c>
      <c r="K368" s="7">
        <v>323.778963322679</v>
      </c>
      <c r="L368" s="8">
        <v>60.8661143208873</v>
      </c>
      <c r="M368" s="9">
        <v>0.781009035716215</v>
      </c>
      <c r="O368" s="1">
        <v>55</v>
      </c>
      <c r="P368" s="1">
        <v>8.2</v>
      </c>
      <c r="Q368" s="1">
        <v>0.078</v>
      </c>
      <c r="R368" s="1">
        <v>1</v>
      </c>
      <c r="S368" s="2">
        <v>0</v>
      </c>
      <c r="T368" s="1">
        <v>20</v>
      </c>
      <c r="U368" s="17">
        <v>0.89760467536325</v>
      </c>
      <c r="V368" s="4">
        <v>20.1</v>
      </c>
      <c r="W368" s="1">
        <v>6.6</v>
      </c>
      <c r="X368" s="8">
        <v>323.778963322679</v>
      </c>
      <c r="Y368" s="18">
        <v>60.8661143208873</v>
      </c>
      <c r="Z368" s="3">
        <v>0.781009035716215</v>
      </c>
    </row>
    <row r="369" spans="2:26">
      <c r="B369" s="1">
        <v>55</v>
      </c>
      <c r="C369" s="1">
        <v>9</v>
      </c>
      <c r="D369" s="1">
        <v>0.078</v>
      </c>
      <c r="E369" s="1">
        <v>1</v>
      </c>
      <c r="F369" s="2">
        <v>0</v>
      </c>
      <c r="G369" s="1">
        <v>20</v>
      </c>
      <c r="H369" s="3">
        <v>0.89760467536325</v>
      </c>
      <c r="I369" s="4">
        <v>20.2</v>
      </c>
      <c r="J369" s="1">
        <v>7.2</v>
      </c>
      <c r="K369" s="7">
        <v>354.302504511332</v>
      </c>
      <c r="L369" s="8">
        <v>66.9158391221254</v>
      </c>
      <c r="M369" s="9">
        <v>0.776288136207271</v>
      </c>
      <c r="O369" s="1">
        <v>55</v>
      </c>
      <c r="P369" s="1">
        <v>9</v>
      </c>
      <c r="Q369" s="1">
        <v>0.078</v>
      </c>
      <c r="R369" s="1">
        <v>1</v>
      </c>
      <c r="S369" s="2">
        <v>0</v>
      </c>
      <c r="T369" s="1">
        <v>20</v>
      </c>
      <c r="U369" s="17">
        <v>0.89760467536325</v>
      </c>
      <c r="V369" s="4">
        <v>20.2</v>
      </c>
      <c r="W369" s="1">
        <v>7.2</v>
      </c>
      <c r="X369" s="8">
        <v>354.302504511332</v>
      </c>
      <c r="Y369" s="18">
        <v>66.9158391221254</v>
      </c>
      <c r="Z369" s="3">
        <v>0.776288136207271</v>
      </c>
    </row>
    <row r="370" spans="2:26">
      <c r="B370" s="1">
        <v>55</v>
      </c>
      <c r="C370" s="1">
        <v>9.8</v>
      </c>
      <c r="D370" s="1">
        <v>0.078</v>
      </c>
      <c r="E370" s="1">
        <v>1</v>
      </c>
      <c r="F370" s="2">
        <v>0</v>
      </c>
      <c r="G370" s="1">
        <v>20</v>
      </c>
      <c r="H370" s="3">
        <v>0.89760467536325</v>
      </c>
      <c r="I370" s="4">
        <v>20.2</v>
      </c>
      <c r="J370" s="1">
        <v>7.7</v>
      </c>
      <c r="K370" s="7">
        <v>382.45193361494</v>
      </c>
      <c r="L370" s="8">
        <v>72.4244487036067</v>
      </c>
      <c r="M370" s="9">
        <v>0.762438113636547</v>
      </c>
      <c r="O370" s="1">
        <v>55</v>
      </c>
      <c r="P370" s="1">
        <v>9.8</v>
      </c>
      <c r="Q370" s="1">
        <v>0.078</v>
      </c>
      <c r="R370" s="1">
        <v>1</v>
      </c>
      <c r="S370" s="2">
        <v>0</v>
      </c>
      <c r="T370" s="1">
        <v>20</v>
      </c>
      <c r="U370" s="17">
        <v>0.89760467536325</v>
      </c>
      <c r="V370" s="4">
        <v>20.2</v>
      </c>
      <c r="W370" s="1">
        <v>7.7</v>
      </c>
      <c r="X370" s="8">
        <v>382.45193361494</v>
      </c>
      <c r="Y370" s="18">
        <v>72.4244487036067</v>
      </c>
      <c r="Z370" s="3">
        <v>0.762438113636547</v>
      </c>
    </row>
    <row r="371" spans="2:26">
      <c r="B371" s="1">
        <v>50</v>
      </c>
      <c r="C371" s="1">
        <v>5</v>
      </c>
      <c r="D371" s="1">
        <v>0.078</v>
      </c>
      <c r="E371" s="1">
        <v>1</v>
      </c>
      <c r="F371" s="2">
        <v>0</v>
      </c>
      <c r="G371" s="1">
        <v>20</v>
      </c>
      <c r="H371" s="3">
        <v>0.920818198615511</v>
      </c>
      <c r="I371" s="4">
        <v>20.1</v>
      </c>
      <c r="J371" s="1">
        <v>3.3</v>
      </c>
      <c r="K371" s="7">
        <v>156.560103172489</v>
      </c>
      <c r="L371" s="8">
        <v>32.88497091765</v>
      </c>
      <c r="M371" s="9">
        <v>0.787324456276909</v>
      </c>
      <c r="O371" s="1">
        <v>50</v>
      </c>
      <c r="P371" s="1">
        <v>5</v>
      </c>
      <c r="Q371" s="1">
        <v>0.078</v>
      </c>
      <c r="R371" s="1">
        <v>1</v>
      </c>
      <c r="S371" s="2">
        <v>0</v>
      </c>
      <c r="T371" s="1">
        <v>20</v>
      </c>
      <c r="U371" s="17">
        <v>0.920818198615511</v>
      </c>
      <c r="V371" s="4">
        <v>20.1</v>
      </c>
      <c r="W371" s="1">
        <v>3.3</v>
      </c>
      <c r="X371" s="8">
        <v>156.560103172489</v>
      </c>
      <c r="Y371" s="18">
        <v>32.88497091765</v>
      </c>
      <c r="Z371" s="3">
        <v>0.787324456276909</v>
      </c>
    </row>
    <row r="372" spans="2:26">
      <c r="B372" s="1">
        <v>50</v>
      </c>
      <c r="C372" s="1">
        <v>5.8</v>
      </c>
      <c r="D372" s="1">
        <v>0.078</v>
      </c>
      <c r="E372" s="1">
        <v>1</v>
      </c>
      <c r="F372" s="2">
        <v>0</v>
      </c>
      <c r="G372" s="1">
        <v>20</v>
      </c>
      <c r="H372" s="3">
        <v>0.920818198615511</v>
      </c>
      <c r="I372" s="4">
        <v>20.1</v>
      </c>
      <c r="J372" s="1">
        <v>3.8</v>
      </c>
      <c r="K372" s="7">
        <v>180.930340223818</v>
      </c>
      <c r="L372" s="8">
        <v>37.9546938401737</v>
      </c>
      <c r="M372" s="9">
        <v>0.781578228681557</v>
      </c>
      <c r="O372" s="1">
        <v>50</v>
      </c>
      <c r="P372" s="1">
        <v>5.8</v>
      </c>
      <c r="Q372" s="1">
        <v>0.078</v>
      </c>
      <c r="R372" s="1">
        <v>1</v>
      </c>
      <c r="S372" s="2">
        <v>0</v>
      </c>
      <c r="T372" s="1">
        <v>20</v>
      </c>
      <c r="U372" s="17">
        <v>0.920818198615511</v>
      </c>
      <c r="V372" s="4">
        <v>20.1</v>
      </c>
      <c r="W372" s="1">
        <v>3.8</v>
      </c>
      <c r="X372" s="8">
        <v>180.930340223818</v>
      </c>
      <c r="Y372" s="18">
        <v>37.9546938401737</v>
      </c>
      <c r="Z372" s="3">
        <v>0.781578228681557</v>
      </c>
    </row>
    <row r="373" spans="2:26">
      <c r="B373" s="1">
        <v>50</v>
      </c>
      <c r="C373" s="1">
        <v>6.6</v>
      </c>
      <c r="D373" s="1">
        <v>0.078</v>
      </c>
      <c r="E373" s="1">
        <v>1</v>
      </c>
      <c r="F373" s="2">
        <v>0</v>
      </c>
      <c r="G373" s="1">
        <v>20</v>
      </c>
      <c r="H373" s="3">
        <v>0.920818198615511</v>
      </c>
      <c r="I373" s="4">
        <v>20.1</v>
      </c>
      <c r="J373" s="1">
        <v>4.2</v>
      </c>
      <c r="K373" s="7">
        <v>202.926410495509</v>
      </c>
      <c r="L373" s="8">
        <v>42.4394196697284</v>
      </c>
      <c r="M373" s="9">
        <v>0.75915288873917</v>
      </c>
      <c r="O373" s="1">
        <v>50</v>
      </c>
      <c r="P373" s="1">
        <v>6.6</v>
      </c>
      <c r="Q373" s="1">
        <v>0.078</v>
      </c>
      <c r="R373" s="1">
        <v>1</v>
      </c>
      <c r="S373" s="2">
        <v>0</v>
      </c>
      <c r="T373" s="1">
        <v>20</v>
      </c>
      <c r="U373" s="17">
        <v>0.920818198615511</v>
      </c>
      <c r="V373" s="4">
        <v>20.1</v>
      </c>
      <c r="W373" s="1">
        <v>4.2</v>
      </c>
      <c r="X373" s="8">
        <v>202.926410495509</v>
      </c>
      <c r="Y373" s="18">
        <v>42.4394196697284</v>
      </c>
      <c r="Z373" s="3">
        <v>0.75915288873917</v>
      </c>
    </row>
    <row r="374" spans="2:26">
      <c r="B374" s="1">
        <v>50</v>
      </c>
      <c r="C374" s="1">
        <v>7.4</v>
      </c>
      <c r="D374" s="1">
        <v>0.078</v>
      </c>
      <c r="E374" s="1">
        <v>1</v>
      </c>
      <c r="F374" s="2">
        <v>0</v>
      </c>
      <c r="G374" s="1">
        <v>20</v>
      </c>
      <c r="H374" s="3">
        <v>0.920818198615511</v>
      </c>
      <c r="I374" s="4">
        <v>20.1</v>
      </c>
      <c r="J374" s="1">
        <v>4.6</v>
      </c>
      <c r="K374" s="7">
        <v>224.918103444233</v>
      </c>
      <c r="L374" s="8">
        <v>46.9503857815198</v>
      </c>
      <c r="M374" s="9">
        <v>0.741578362654784</v>
      </c>
      <c r="O374" s="1">
        <v>50</v>
      </c>
      <c r="P374" s="1">
        <v>7.4</v>
      </c>
      <c r="Q374" s="1">
        <v>0.078</v>
      </c>
      <c r="R374" s="1">
        <v>1</v>
      </c>
      <c r="S374" s="2">
        <v>0</v>
      </c>
      <c r="T374" s="1">
        <v>20</v>
      </c>
      <c r="U374" s="17">
        <v>0.920818198615511</v>
      </c>
      <c r="V374" s="4">
        <v>20.1</v>
      </c>
      <c r="W374" s="1">
        <v>4.6</v>
      </c>
      <c r="X374" s="8">
        <v>224.918103444233</v>
      </c>
      <c r="Y374" s="18">
        <v>46.9503857815198</v>
      </c>
      <c r="Z374" s="3">
        <v>0.741578362654784</v>
      </c>
    </row>
    <row r="375" spans="2:26">
      <c r="B375" s="1">
        <v>50</v>
      </c>
      <c r="C375" s="1">
        <v>8.2</v>
      </c>
      <c r="D375" s="1">
        <v>0.078</v>
      </c>
      <c r="E375" s="1">
        <v>1</v>
      </c>
      <c r="F375" s="2">
        <v>0</v>
      </c>
      <c r="G375" s="1">
        <v>20</v>
      </c>
      <c r="H375" s="3">
        <v>0.920818198615511</v>
      </c>
      <c r="I375" s="4">
        <v>20.1</v>
      </c>
      <c r="J375" s="1">
        <v>5</v>
      </c>
      <c r="K375" s="7">
        <v>246.905416858431</v>
      </c>
      <c r="L375" s="8">
        <v>51.4964518000026</v>
      </c>
      <c r="M375" s="9">
        <v>0.727434900030935</v>
      </c>
      <c r="O375" s="1">
        <v>50</v>
      </c>
      <c r="P375" s="1">
        <v>8.2</v>
      </c>
      <c r="Q375" s="1">
        <v>0.078</v>
      </c>
      <c r="R375" s="1">
        <v>1</v>
      </c>
      <c r="S375" s="2">
        <v>0</v>
      </c>
      <c r="T375" s="1">
        <v>20</v>
      </c>
      <c r="U375" s="17">
        <v>0.920818198615511</v>
      </c>
      <c r="V375" s="4">
        <v>20.1</v>
      </c>
      <c r="W375" s="1">
        <v>5</v>
      </c>
      <c r="X375" s="8">
        <v>246.905416858431</v>
      </c>
      <c r="Y375" s="18">
        <v>51.4964518000026</v>
      </c>
      <c r="Z375" s="3">
        <v>0.727434900030935</v>
      </c>
    </row>
    <row r="376" spans="2:26">
      <c r="B376" s="1">
        <v>50</v>
      </c>
      <c r="C376" s="1">
        <v>9</v>
      </c>
      <c r="D376" s="1">
        <v>0.078</v>
      </c>
      <c r="E376" s="1">
        <v>1</v>
      </c>
      <c r="F376" s="2">
        <v>0</v>
      </c>
      <c r="G376" s="1">
        <v>20</v>
      </c>
      <c r="H376" s="3">
        <v>0.920818198615511</v>
      </c>
      <c r="I376" s="4">
        <v>20.2</v>
      </c>
      <c r="J376" s="1">
        <v>5.4</v>
      </c>
      <c r="K376" s="7">
        <v>268.888348524979</v>
      </c>
      <c r="L376" s="8">
        <v>56.0856712259974</v>
      </c>
      <c r="M376" s="9">
        <v>0.715807550611479</v>
      </c>
      <c r="O376" s="1">
        <v>50</v>
      </c>
      <c r="P376" s="1">
        <v>9</v>
      </c>
      <c r="Q376" s="1">
        <v>0.078</v>
      </c>
      <c r="R376" s="1">
        <v>1</v>
      </c>
      <c r="S376" s="2">
        <v>0</v>
      </c>
      <c r="T376" s="1">
        <v>20</v>
      </c>
      <c r="U376" s="17">
        <v>0.920818198615511</v>
      </c>
      <c r="V376" s="4">
        <v>20.2</v>
      </c>
      <c r="W376" s="1">
        <v>5.4</v>
      </c>
      <c r="X376" s="8">
        <v>268.888348524979</v>
      </c>
      <c r="Y376" s="18">
        <v>56.0856712259974</v>
      </c>
      <c r="Z376" s="3">
        <v>0.715807550611479</v>
      </c>
    </row>
    <row r="377" spans="2:26">
      <c r="B377" s="1">
        <v>50</v>
      </c>
      <c r="C377" s="1">
        <v>9.8</v>
      </c>
      <c r="D377" s="1">
        <v>0.078</v>
      </c>
      <c r="E377" s="1">
        <v>1</v>
      </c>
      <c r="F377" s="2">
        <v>0</v>
      </c>
      <c r="G377" s="1">
        <v>20</v>
      </c>
      <c r="H377" s="3">
        <v>0.920818198615511</v>
      </c>
      <c r="I377" s="4">
        <v>20.2</v>
      </c>
      <c r="J377" s="1">
        <v>5.8</v>
      </c>
      <c r="K377" s="7">
        <v>290.86689622919</v>
      </c>
      <c r="L377" s="8">
        <v>60.7255317448976</v>
      </c>
      <c r="M377" s="9">
        <v>0.706080123407587</v>
      </c>
      <c r="O377" s="1">
        <v>50</v>
      </c>
      <c r="P377" s="1">
        <v>9.8</v>
      </c>
      <c r="Q377" s="1">
        <v>0.078</v>
      </c>
      <c r="R377" s="1">
        <v>1</v>
      </c>
      <c r="S377" s="2">
        <v>0</v>
      </c>
      <c r="T377" s="1">
        <v>20</v>
      </c>
      <c r="U377" s="17">
        <v>0.920818198615511</v>
      </c>
      <c r="V377" s="4">
        <v>20.2</v>
      </c>
      <c r="W377" s="1">
        <v>5.8</v>
      </c>
      <c r="X377" s="8">
        <v>290.86689622919</v>
      </c>
      <c r="Y377" s="18">
        <v>60.7255317448976</v>
      </c>
      <c r="Z377" s="3">
        <v>0.706080123407587</v>
      </c>
    </row>
    <row r="378" spans="2:26">
      <c r="B378" s="1">
        <v>65</v>
      </c>
      <c r="C378" s="1">
        <v>5</v>
      </c>
      <c r="D378" s="1">
        <v>0.03</v>
      </c>
      <c r="E378" s="1">
        <v>1</v>
      </c>
      <c r="F378" s="2">
        <v>0</v>
      </c>
      <c r="G378" s="1">
        <v>20</v>
      </c>
      <c r="H378" s="3">
        <v>0.831152647810126</v>
      </c>
      <c r="I378" s="4">
        <v>20.1</v>
      </c>
      <c r="J378" s="1">
        <v>14.3</v>
      </c>
      <c r="K378" s="7">
        <v>294.71240711803</v>
      </c>
      <c r="L378" s="8">
        <v>55.1559831663362</v>
      </c>
      <c r="M378" s="9">
        <v>0.716383099023218</v>
      </c>
      <c r="O378" s="1">
        <v>65</v>
      </c>
      <c r="P378" s="1">
        <v>5</v>
      </c>
      <c r="Q378" s="1">
        <v>0.03</v>
      </c>
      <c r="R378" s="1">
        <v>1</v>
      </c>
      <c r="S378" s="2">
        <v>0</v>
      </c>
      <c r="T378" s="1">
        <v>20</v>
      </c>
      <c r="U378" s="17">
        <v>0.831152647810126</v>
      </c>
      <c r="V378" s="4">
        <v>20.1</v>
      </c>
      <c r="W378" s="1">
        <v>14.3</v>
      </c>
      <c r="X378" s="8">
        <v>294.71240711803</v>
      </c>
      <c r="Y378" s="18">
        <v>55.1559831663362</v>
      </c>
      <c r="Z378" s="3">
        <v>0.716383099023218</v>
      </c>
    </row>
    <row r="379" spans="2:26">
      <c r="B379" s="1">
        <v>65</v>
      </c>
      <c r="C379" s="1">
        <v>5.8</v>
      </c>
      <c r="D379" s="1">
        <v>0.03</v>
      </c>
      <c r="E379" s="1">
        <v>1</v>
      </c>
      <c r="F379" s="2">
        <v>0</v>
      </c>
      <c r="G379" s="1">
        <v>20</v>
      </c>
      <c r="H379" s="3">
        <v>0.831152647810126</v>
      </c>
      <c r="I379" s="4">
        <v>20.1</v>
      </c>
      <c r="J379" s="1">
        <v>15.8</v>
      </c>
      <c r="K379" s="7">
        <v>334.684100590248</v>
      </c>
      <c r="L379" s="8">
        <v>65.2893209822827</v>
      </c>
      <c r="M379" s="9">
        <v>0.682351878741671</v>
      </c>
      <c r="O379" s="1">
        <v>65</v>
      </c>
      <c r="P379" s="1">
        <v>5.8</v>
      </c>
      <c r="Q379" s="1">
        <v>0.03</v>
      </c>
      <c r="R379" s="1">
        <v>1</v>
      </c>
      <c r="S379" s="2">
        <v>0</v>
      </c>
      <c r="T379" s="1">
        <v>20</v>
      </c>
      <c r="U379" s="17">
        <v>0.831152647810126</v>
      </c>
      <c r="V379" s="4">
        <v>20.1</v>
      </c>
      <c r="W379" s="1">
        <v>15.8</v>
      </c>
      <c r="X379" s="8">
        <v>334.684100590248</v>
      </c>
      <c r="Y379" s="18">
        <v>65.2893209822827</v>
      </c>
      <c r="Z379" s="3">
        <v>0.682351878741671</v>
      </c>
    </row>
    <row r="380" spans="2:26">
      <c r="B380" s="1">
        <v>65</v>
      </c>
      <c r="C380" s="1">
        <v>6.6</v>
      </c>
      <c r="D380" s="1">
        <v>0.03</v>
      </c>
      <c r="E380" s="1">
        <v>1</v>
      </c>
      <c r="F380" s="2">
        <v>0</v>
      </c>
      <c r="G380" s="1">
        <v>20</v>
      </c>
      <c r="H380" s="3">
        <v>0.831152647810126</v>
      </c>
      <c r="I380" s="4">
        <v>20.1</v>
      </c>
      <c r="J380" s="1">
        <v>17.4</v>
      </c>
      <c r="K380" s="7">
        <v>375.532994349703</v>
      </c>
      <c r="L380" s="8">
        <v>74.3150730127762</v>
      </c>
      <c r="M380" s="9">
        <v>0.660386769939578</v>
      </c>
      <c r="O380" s="1">
        <v>65</v>
      </c>
      <c r="P380" s="1">
        <v>6.6</v>
      </c>
      <c r="Q380" s="1">
        <v>0.03</v>
      </c>
      <c r="R380" s="1">
        <v>1</v>
      </c>
      <c r="S380" s="2">
        <v>0</v>
      </c>
      <c r="T380" s="1">
        <v>20</v>
      </c>
      <c r="U380" s="17">
        <v>0.831152647810126</v>
      </c>
      <c r="V380" s="4">
        <v>20.1</v>
      </c>
      <c r="W380" s="1">
        <v>17.4</v>
      </c>
      <c r="X380" s="8">
        <v>375.532994349703</v>
      </c>
      <c r="Y380" s="18">
        <v>74.3150730127762</v>
      </c>
      <c r="Z380" s="3">
        <v>0.660386769939578</v>
      </c>
    </row>
    <row r="381" spans="2:26">
      <c r="B381" s="1">
        <v>65</v>
      </c>
      <c r="C381" s="1">
        <v>7.4</v>
      </c>
      <c r="D381" s="1">
        <v>0.03</v>
      </c>
      <c r="E381" s="1">
        <v>1</v>
      </c>
      <c r="F381" s="2">
        <v>0</v>
      </c>
      <c r="G381" s="1">
        <v>20</v>
      </c>
      <c r="H381" s="3">
        <v>0.831152647810126</v>
      </c>
      <c r="I381" s="4">
        <v>20.1</v>
      </c>
      <c r="J381" s="1">
        <v>18.8</v>
      </c>
      <c r="K381" s="7">
        <v>414.569863267717</v>
      </c>
      <c r="L381" s="8">
        <v>84.3766590834354</v>
      </c>
      <c r="M381" s="9">
        <v>0.636393971980895</v>
      </c>
      <c r="O381" s="1">
        <v>65</v>
      </c>
      <c r="P381" s="1">
        <v>7.4</v>
      </c>
      <c r="Q381" s="1">
        <v>0.03</v>
      </c>
      <c r="R381" s="1">
        <v>1</v>
      </c>
      <c r="S381" s="2">
        <v>0</v>
      </c>
      <c r="T381" s="1">
        <v>20</v>
      </c>
      <c r="U381" s="17">
        <v>0.831152647810126</v>
      </c>
      <c r="V381" s="4">
        <v>20.1</v>
      </c>
      <c r="W381" s="1">
        <v>18.8</v>
      </c>
      <c r="X381" s="8">
        <v>414.569863267717</v>
      </c>
      <c r="Y381" s="18">
        <v>84.3766590834354</v>
      </c>
      <c r="Z381" s="3">
        <v>0.636393971980895</v>
      </c>
    </row>
    <row r="382" spans="2:26">
      <c r="B382" s="1">
        <v>65</v>
      </c>
      <c r="C382" s="1">
        <v>8.2</v>
      </c>
      <c r="D382" s="1">
        <v>0.03</v>
      </c>
      <c r="E382" s="1">
        <v>1</v>
      </c>
      <c r="F382" s="2">
        <v>0</v>
      </c>
      <c r="G382" s="1">
        <v>20</v>
      </c>
      <c r="H382" s="3">
        <v>0.831152647810126</v>
      </c>
      <c r="I382" s="4">
        <v>20.1</v>
      </c>
      <c r="J382" s="1">
        <v>20.3</v>
      </c>
      <c r="K382" s="7">
        <v>454.514029943156</v>
      </c>
      <c r="L382" s="8">
        <v>95.7313901942957</v>
      </c>
      <c r="M382" s="9">
        <v>0.620138921415976</v>
      </c>
      <c r="O382" s="1">
        <v>65</v>
      </c>
      <c r="P382" s="1">
        <v>8.2</v>
      </c>
      <c r="Q382" s="1">
        <v>0.03</v>
      </c>
      <c r="R382" s="1">
        <v>1</v>
      </c>
      <c r="S382" s="2">
        <v>0</v>
      </c>
      <c r="T382" s="1">
        <v>20</v>
      </c>
      <c r="U382" s="17">
        <v>0.831152647810126</v>
      </c>
      <c r="V382" s="4">
        <v>20.1</v>
      </c>
      <c r="W382" s="1">
        <v>20.3</v>
      </c>
      <c r="X382" s="8">
        <v>454.514029943156</v>
      </c>
      <c r="Y382" s="18">
        <v>95.7313901942957</v>
      </c>
      <c r="Z382" s="3">
        <v>0.620138921415976</v>
      </c>
    </row>
    <row r="383" spans="2:26">
      <c r="B383" s="1">
        <v>65</v>
      </c>
      <c r="C383" s="1">
        <v>9</v>
      </c>
      <c r="D383" s="1">
        <v>0.03</v>
      </c>
      <c r="E383" s="1">
        <v>1</v>
      </c>
      <c r="F383" s="2">
        <v>0</v>
      </c>
      <c r="G383" s="1">
        <v>20</v>
      </c>
      <c r="H383" s="3">
        <v>0.831152647810126</v>
      </c>
      <c r="I383" s="4">
        <v>20.2</v>
      </c>
      <c r="J383" s="1">
        <v>21.6</v>
      </c>
      <c r="K383" s="7">
        <v>492.631117541356</v>
      </c>
      <c r="L383" s="8">
        <v>106.998546592442</v>
      </c>
      <c r="M383" s="9">
        <v>0.601208236746695</v>
      </c>
      <c r="O383" s="1">
        <v>65</v>
      </c>
      <c r="P383" s="1">
        <v>9</v>
      </c>
      <c r="Q383" s="1">
        <v>0.03</v>
      </c>
      <c r="R383" s="1">
        <v>1</v>
      </c>
      <c r="S383" s="2">
        <v>0</v>
      </c>
      <c r="T383" s="1">
        <v>20</v>
      </c>
      <c r="U383" s="17">
        <v>0.831152647810126</v>
      </c>
      <c r="V383" s="4">
        <v>20.2</v>
      </c>
      <c r="W383" s="1">
        <v>21.6</v>
      </c>
      <c r="X383" s="8">
        <v>492.631117541356</v>
      </c>
      <c r="Y383" s="18">
        <v>106.998546592442</v>
      </c>
      <c r="Z383" s="3">
        <v>0.601208236746695</v>
      </c>
    </row>
    <row r="384" spans="2:26">
      <c r="B384" s="1">
        <v>65</v>
      </c>
      <c r="C384" s="1">
        <v>9.8</v>
      </c>
      <c r="D384" s="1">
        <v>0.03</v>
      </c>
      <c r="E384" s="1">
        <v>1</v>
      </c>
      <c r="F384" s="2">
        <v>0</v>
      </c>
      <c r="G384" s="1">
        <v>20</v>
      </c>
      <c r="H384" s="3">
        <v>0.831152647810126</v>
      </c>
      <c r="I384" s="4">
        <v>20.2</v>
      </c>
      <c r="J384" s="1">
        <v>22.7</v>
      </c>
      <c r="K384" s="7">
        <v>528.921124226341</v>
      </c>
      <c r="L384" s="8">
        <v>117.948171828117</v>
      </c>
      <c r="M384" s="9">
        <v>0.580256932477132</v>
      </c>
      <c r="O384" s="1">
        <v>65</v>
      </c>
      <c r="P384" s="1">
        <v>9.8</v>
      </c>
      <c r="Q384" s="1">
        <v>0.03</v>
      </c>
      <c r="R384" s="1">
        <v>1</v>
      </c>
      <c r="S384" s="2">
        <v>0</v>
      </c>
      <c r="T384" s="1">
        <v>20</v>
      </c>
      <c r="U384" s="17">
        <v>0.831152647810126</v>
      </c>
      <c r="V384" s="4">
        <v>20.2</v>
      </c>
      <c r="W384" s="1">
        <v>22.7</v>
      </c>
      <c r="X384" s="8">
        <v>528.921124226341</v>
      </c>
      <c r="Y384" s="18">
        <v>117.948171828117</v>
      </c>
      <c r="Z384" s="3">
        <v>0.580256932477132</v>
      </c>
    </row>
    <row r="385" spans="2:26">
      <c r="B385" s="1">
        <v>60</v>
      </c>
      <c r="C385" s="1">
        <v>5</v>
      </c>
      <c r="D385" s="1">
        <v>0.03</v>
      </c>
      <c r="E385" s="1">
        <v>1</v>
      </c>
      <c r="F385" s="2">
        <v>0</v>
      </c>
      <c r="G385" s="1">
        <v>20</v>
      </c>
      <c r="H385" s="3">
        <v>0.868253123396246</v>
      </c>
      <c r="I385" s="4">
        <v>20.1</v>
      </c>
      <c r="J385" s="1">
        <v>11.4</v>
      </c>
      <c r="K385" s="7">
        <v>234.430049590211</v>
      </c>
      <c r="L385" s="8">
        <v>46.5240154628885</v>
      </c>
      <c r="M385" s="9">
        <v>0.695460955474532</v>
      </c>
      <c r="O385" s="1">
        <v>60</v>
      </c>
      <c r="P385" s="1">
        <v>5</v>
      </c>
      <c r="Q385" s="1">
        <v>0.03</v>
      </c>
      <c r="R385" s="1">
        <v>1</v>
      </c>
      <c r="S385" s="2">
        <v>0</v>
      </c>
      <c r="T385" s="1">
        <v>20</v>
      </c>
      <c r="U385" s="17">
        <v>0.868253123396246</v>
      </c>
      <c r="V385" s="4">
        <v>20.1</v>
      </c>
      <c r="W385" s="1">
        <v>11.4</v>
      </c>
      <c r="X385" s="8">
        <v>234.430049590211</v>
      </c>
      <c r="Y385" s="18">
        <v>46.5240154628885</v>
      </c>
      <c r="Z385" s="3">
        <v>0.695460955474532</v>
      </c>
    </row>
    <row r="386" spans="2:26">
      <c r="B386" s="1">
        <v>60</v>
      </c>
      <c r="C386" s="1">
        <v>5.8</v>
      </c>
      <c r="D386" s="1">
        <v>0.03</v>
      </c>
      <c r="E386" s="1">
        <v>1</v>
      </c>
      <c r="F386" s="2">
        <v>0</v>
      </c>
      <c r="G386" s="1">
        <v>20</v>
      </c>
      <c r="H386" s="3">
        <v>0.868253123396246</v>
      </c>
      <c r="I386" s="4">
        <v>20.1</v>
      </c>
      <c r="J386" s="1">
        <v>12.7</v>
      </c>
      <c r="K386" s="7">
        <v>267.147466076637</v>
      </c>
      <c r="L386" s="8">
        <v>54.1777970976828</v>
      </c>
      <c r="M386" s="9">
        <v>0.667914027754252</v>
      </c>
      <c r="O386" s="1">
        <v>60</v>
      </c>
      <c r="P386" s="1">
        <v>5.8</v>
      </c>
      <c r="Q386" s="1">
        <v>0.03</v>
      </c>
      <c r="R386" s="1">
        <v>1</v>
      </c>
      <c r="S386" s="2">
        <v>0</v>
      </c>
      <c r="T386" s="1">
        <v>20</v>
      </c>
      <c r="U386" s="17">
        <v>0.868253123396246</v>
      </c>
      <c r="V386" s="4">
        <v>20.1</v>
      </c>
      <c r="W386" s="1">
        <v>12.7</v>
      </c>
      <c r="X386" s="8">
        <v>267.147466076637</v>
      </c>
      <c r="Y386" s="18">
        <v>54.1777970976828</v>
      </c>
      <c r="Z386" s="3">
        <v>0.667914027754252</v>
      </c>
    </row>
    <row r="387" spans="2:26">
      <c r="B387" s="1">
        <v>60</v>
      </c>
      <c r="C387" s="1">
        <v>6.6</v>
      </c>
      <c r="D387" s="1">
        <v>0.03</v>
      </c>
      <c r="E387" s="1">
        <v>1</v>
      </c>
      <c r="F387" s="2">
        <v>0</v>
      </c>
      <c r="G387" s="1">
        <v>20</v>
      </c>
      <c r="H387" s="3">
        <v>0.868253123396246</v>
      </c>
      <c r="I387" s="4">
        <v>20.1</v>
      </c>
      <c r="J387" s="1">
        <v>14.1</v>
      </c>
      <c r="K387" s="7">
        <v>300.772101041742</v>
      </c>
      <c r="L387" s="8">
        <v>62.7037088263367</v>
      </c>
      <c r="M387" s="9">
        <v>0.651668825681191</v>
      </c>
      <c r="O387" s="1">
        <v>60</v>
      </c>
      <c r="P387" s="1">
        <v>6.6</v>
      </c>
      <c r="Q387" s="1">
        <v>0.03</v>
      </c>
      <c r="R387" s="1">
        <v>1</v>
      </c>
      <c r="S387" s="2">
        <v>0</v>
      </c>
      <c r="T387" s="1">
        <v>20</v>
      </c>
      <c r="U387" s="17">
        <v>0.868253123396246</v>
      </c>
      <c r="V387" s="4">
        <v>20.1</v>
      </c>
      <c r="W387" s="1">
        <v>14.1</v>
      </c>
      <c r="X387" s="8">
        <v>300.772101041742</v>
      </c>
      <c r="Y387" s="18">
        <v>62.7037088263367</v>
      </c>
      <c r="Z387" s="3">
        <v>0.651668825681191</v>
      </c>
    </row>
    <row r="388" spans="2:26">
      <c r="B388" s="1">
        <v>60</v>
      </c>
      <c r="C388" s="1">
        <v>7.4</v>
      </c>
      <c r="D388" s="1">
        <v>0.03</v>
      </c>
      <c r="E388" s="1">
        <v>1</v>
      </c>
      <c r="F388" s="2">
        <v>0</v>
      </c>
      <c r="G388" s="1">
        <v>20</v>
      </c>
      <c r="H388" s="3">
        <v>0.868253123396246</v>
      </c>
      <c r="I388" s="4">
        <v>20.1</v>
      </c>
      <c r="J388" s="1">
        <v>15.3</v>
      </c>
      <c r="K388" s="7">
        <v>332.569577506919</v>
      </c>
      <c r="L388" s="8">
        <v>71.0215945806694</v>
      </c>
      <c r="M388" s="9">
        <v>0.630693581278059</v>
      </c>
      <c r="O388" s="1">
        <v>60</v>
      </c>
      <c r="P388" s="1">
        <v>7.4</v>
      </c>
      <c r="Q388" s="1">
        <v>0.03</v>
      </c>
      <c r="R388" s="1">
        <v>1</v>
      </c>
      <c r="S388" s="2">
        <v>0</v>
      </c>
      <c r="T388" s="1">
        <v>20</v>
      </c>
      <c r="U388" s="17">
        <v>0.868253123396246</v>
      </c>
      <c r="V388" s="4">
        <v>20.1</v>
      </c>
      <c r="W388" s="1">
        <v>15.3</v>
      </c>
      <c r="X388" s="8">
        <v>332.569577506919</v>
      </c>
      <c r="Y388" s="18">
        <v>71.0215945806694</v>
      </c>
      <c r="Z388" s="3">
        <v>0.630693581278059</v>
      </c>
    </row>
    <row r="389" spans="2:26">
      <c r="B389" s="1">
        <v>60</v>
      </c>
      <c r="C389" s="1">
        <v>8.2</v>
      </c>
      <c r="D389" s="1">
        <v>0.03</v>
      </c>
      <c r="E389" s="1">
        <v>1</v>
      </c>
      <c r="F389" s="2">
        <v>0</v>
      </c>
      <c r="G389" s="1">
        <v>20</v>
      </c>
      <c r="H389" s="3">
        <v>0.868253123396246</v>
      </c>
      <c r="I389" s="4">
        <v>20.1</v>
      </c>
      <c r="J389" s="1">
        <v>16.6</v>
      </c>
      <c r="K389" s="7">
        <v>365.274268492149</v>
      </c>
      <c r="L389" s="8">
        <v>80.3862330052591</v>
      </c>
      <c r="M389" s="9">
        <v>0.617532568090075</v>
      </c>
      <c r="O389" s="1">
        <v>60</v>
      </c>
      <c r="P389" s="1">
        <v>8.2</v>
      </c>
      <c r="Q389" s="1">
        <v>0.03</v>
      </c>
      <c r="R389" s="1">
        <v>1</v>
      </c>
      <c r="S389" s="2">
        <v>0</v>
      </c>
      <c r="T389" s="1">
        <v>20</v>
      </c>
      <c r="U389" s="17">
        <v>0.868253123396246</v>
      </c>
      <c r="V389" s="4">
        <v>20.1</v>
      </c>
      <c r="W389" s="1">
        <v>16.6</v>
      </c>
      <c r="X389" s="8">
        <v>365.274268492149</v>
      </c>
      <c r="Y389" s="18">
        <v>80.3862330052591</v>
      </c>
      <c r="Z389" s="3">
        <v>0.617532568090075</v>
      </c>
    </row>
    <row r="390" spans="2:26">
      <c r="B390" s="1">
        <v>60</v>
      </c>
      <c r="C390" s="1">
        <v>9</v>
      </c>
      <c r="D390" s="1">
        <v>0.03</v>
      </c>
      <c r="E390" s="1">
        <v>1</v>
      </c>
      <c r="F390" s="2">
        <v>0</v>
      </c>
      <c r="G390" s="1">
        <v>20</v>
      </c>
      <c r="H390" s="3">
        <v>0.868253123396246</v>
      </c>
      <c r="I390" s="4">
        <v>20.2</v>
      </c>
      <c r="J390" s="1">
        <v>17.8</v>
      </c>
      <c r="K390" s="7">
        <v>397.063255349338</v>
      </c>
      <c r="L390" s="8">
        <v>89.9868196413809</v>
      </c>
      <c r="M390" s="9">
        <v>0.603323240589886</v>
      </c>
      <c r="O390" s="1">
        <v>60</v>
      </c>
      <c r="P390" s="1">
        <v>9</v>
      </c>
      <c r="Q390" s="1">
        <v>0.03</v>
      </c>
      <c r="R390" s="1">
        <v>1</v>
      </c>
      <c r="S390" s="2">
        <v>0</v>
      </c>
      <c r="T390" s="1">
        <v>20</v>
      </c>
      <c r="U390" s="17">
        <v>0.868253123396246</v>
      </c>
      <c r="V390" s="4">
        <v>20.2</v>
      </c>
      <c r="W390" s="1">
        <v>17.8</v>
      </c>
      <c r="X390" s="8">
        <v>397.063255349338</v>
      </c>
      <c r="Y390" s="18">
        <v>89.9868196413809</v>
      </c>
      <c r="Z390" s="3">
        <v>0.603323240589886</v>
      </c>
    </row>
    <row r="391" spans="2:26">
      <c r="B391" s="1">
        <v>60</v>
      </c>
      <c r="C391" s="1">
        <v>9.8</v>
      </c>
      <c r="D391" s="1">
        <v>0.03</v>
      </c>
      <c r="E391" s="1">
        <v>1</v>
      </c>
      <c r="F391" s="2">
        <v>0</v>
      </c>
      <c r="G391" s="1">
        <v>20</v>
      </c>
      <c r="H391" s="3">
        <v>0.868253123396246</v>
      </c>
      <c r="I391" s="4">
        <v>20.2</v>
      </c>
      <c r="J391" s="1">
        <v>18.8</v>
      </c>
      <c r="K391" s="7">
        <v>427.025077762311</v>
      </c>
      <c r="L391" s="8">
        <v>99.1774398362697</v>
      </c>
      <c r="M391" s="9">
        <v>0.585209364015389</v>
      </c>
      <c r="O391" s="1">
        <v>60</v>
      </c>
      <c r="P391" s="1">
        <v>9.8</v>
      </c>
      <c r="Q391" s="1">
        <v>0.03</v>
      </c>
      <c r="R391" s="1">
        <v>1</v>
      </c>
      <c r="S391" s="2">
        <v>0</v>
      </c>
      <c r="T391" s="1">
        <v>20</v>
      </c>
      <c r="U391" s="17">
        <v>0.868253123396246</v>
      </c>
      <c r="V391" s="4">
        <v>20.2</v>
      </c>
      <c r="W391" s="1">
        <v>18.8</v>
      </c>
      <c r="X391" s="8">
        <v>427.025077762311</v>
      </c>
      <c r="Y391" s="18">
        <v>99.1774398362697</v>
      </c>
      <c r="Z391" s="3">
        <v>0.585209364015389</v>
      </c>
    </row>
    <row r="392" spans="2:26">
      <c r="B392" s="1">
        <v>55</v>
      </c>
      <c r="C392" s="1">
        <v>5</v>
      </c>
      <c r="D392" s="1">
        <v>0.03</v>
      </c>
      <c r="E392" s="1">
        <v>1</v>
      </c>
      <c r="F392" s="2">
        <v>0</v>
      </c>
      <c r="G392" s="1">
        <v>20</v>
      </c>
      <c r="H392" s="3">
        <v>0.89760467536325</v>
      </c>
      <c r="I392" s="4">
        <v>20.1</v>
      </c>
      <c r="J392" s="1">
        <v>9.1</v>
      </c>
      <c r="K392" s="7">
        <v>185.053094856064</v>
      </c>
      <c r="L392" s="8">
        <v>39.8569081550589</v>
      </c>
      <c r="M392" s="9">
        <v>0.679197481616276</v>
      </c>
      <c r="O392" s="1">
        <v>55</v>
      </c>
      <c r="P392" s="1">
        <v>5</v>
      </c>
      <c r="Q392" s="1">
        <v>0.03</v>
      </c>
      <c r="R392" s="1">
        <v>1</v>
      </c>
      <c r="S392" s="2">
        <v>0</v>
      </c>
      <c r="T392" s="1">
        <v>20</v>
      </c>
      <c r="U392" s="17">
        <v>0.89760467536325</v>
      </c>
      <c r="V392" s="4">
        <v>20.1</v>
      </c>
      <c r="W392" s="1">
        <v>9.1</v>
      </c>
      <c r="X392" s="8">
        <v>185.053094856064</v>
      </c>
      <c r="Y392" s="18">
        <v>39.8569081550589</v>
      </c>
      <c r="Z392" s="3">
        <v>0.679197481616276</v>
      </c>
    </row>
    <row r="393" spans="2:26">
      <c r="B393" s="1">
        <v>55</v>
      </c>
      <c r="C393" s="1">
        <v>5.8</v>
      </c>
      <c r="D393" s="1">
        <v>0.03</v>
      </c>
      <c r="E393" s="1">
        <v>1</v>
      </c>
      <c r="F393" s="2">
        <v>0</v>
      </c>
      <c r="G393" s="1">
        <v>20</v>
      </c>
      <c r="H393" s="3">
        <v>0.89760467536325</v>
      </c>
      <c r="I393" s="4">
        <v>20.1</v>
      </c>
      <c r="J393" s="1">
        <v>10.1</v>
      </c>
      <c r="K393" s="7">
        <v>210.489729986073</v>
      </c>
      <c r="L393" s="8">
        <v>46.0389413624768</v>
      </c>
      <c r="M393" s="9">
        <v>0.64986784124724</v>
      </c>
      <c r="O393" s="1">
        <v>55</v>
      </c>
      <c r="P393" s="1">
        <v>5.8</v>
      </c>
      <c r="Q393" s="1">
        <v>0.03</v>
      </c>
      <c r="R393" s="1">
        <v>1</v>
      </c>
      <c r="S393" s="2">
        <v>0</v>
      </c>
      <c r="T393" s="1">
        <v>20</v>
      </c>
      <c r="U393" s="17">
        <v>0.89760467536325</v>
      </c>
      <c r="V393" s="4">
        <v>20.1</v>
      </c>
      <c r="W393" s="1">
        <v>10.1</v>
      </c>
      <c r="X393" s="8">
        <v>210.489729986073</v>
      </c>
      <c r="Y393" s="18">
        <v>46.0389413624768</v>
      </c>
      <c r="Z393" s="3">
        <v>0.64986784124724</v>
      </c>
    </row>
    <row r="394" spans="2:26">
      <c r="B394" s="1">
        <v>55</v>
      </c>
      <c r="C394" s="1">
        <v>6.6</v>
      </c>
      <c r="D394" s="1">
        <v>0.03</v>
      </c>
      <c r="E394" s="1">
        <v>1</v>
      </c>
      <c r="F394" s="2">
        <v>0</v>
      </c>
      <c r="G394" s="1">
        <v>20</v>
      </c>
      <c r="H394" s="3">
        <v>0.89760467536325</v>
      </c>
      <c r="I394" s="4">
        <v>20.1</v>
      </c>
      <c r="J394" s="1">
        <v>11.2</v>
      </c>
      <c r="K394" s="7">
        <v>236.833511454247</v>
      </c>
      <c r="L394" s="8">
        <v>52.9069773971451</v>
      </c>
      <c r="M394" s="9">
        <v>0.633304742790033</v>
      </c>
      <c r="O394" s="1">
        <v>55</v>
      </c>
      <c r="P394" s="1">
        <v>6.6</v>
      </c>
      <c r="Q394" s="1">
        <v>0.03</v>
      </c>
      <c r="R394" s="1">
        <v>1</v>
      </c>
      <c r="S394" s="2">
        <v>0</v>
      </c>
      <c r="T394" s="1">
        <v>20</v>
      </c>
      <c r="U394" s="17">
        <v>0.89760467536325</v>
      </c>
      <c r="V394" s="4">
        <v>20.1</v>
      </c>
      <c r="W394" s="1">
        <v>11.2</v>
      </c>
      <c r="X394" s="8">
        <v>236.833511454247</v>
      </c>
      <c r="Y394" s="18">
        <v>52.9069773971451</v>
      </c>
      <c r="Z394" s="3">
        <v>0.633304742790033</v>
      </c>
    </row>
    <row r="395" spans="2:26">
      <c r="B395" s="1">
        <v>55</v>
      </c>
      <c r="C395" s="1">
        <v>7.4</v>
      </c>
      <c r="D395" s="1">
        <v>0.03</v>
      </c>
      <c r="E395" s="1">
        <v>1</v>
      </c>
      <c r="F395" s="2">
        <v>0</v>
      </c>
      <c r="G395" s="1">
        <v>20</v>
      </c>
      <c r="H395" s="3">
        <v>0.89760467536325</v>
      </c>
      <c r="I395" s="4">
        <v>20.1</v>
      </c>
      <c r="J395" s="1">
        <v>12.2</v>
      </c>
      <c r="K395" s="7">
        <v>262.261520490356</v>
      </c>
      <c r="L395" s="8">
        <v>59.7750502424211</v>
      </c>
      <c r="M395" s="9">
        <v>0.615281350066453</v>
      </c>
      <c r="O395" s="1">
        <v>55</v>
      </c>
      <c r="P395" s="1">
        <v>7.4</v>
      </c>
      <c r="Q395" s="1">
        <v>0.03</v>
      </c>
      <c r="R395" s="1">
        <v>1</v>
      </c>
      <c r="S395" s="2">
        <v>0</v>
      </c>
      <c r="T395" s="1">
        <v>20</v>
      </c>
      <c r="U395" s="17">
        <v>0.89760467536325</v>
      </c>
      <c r="V395" s="4">
        <v>20.1</v>
      </c>
      <c r="W395" s="1">
        <v>12.2</v>
      </c>
      <c r="X395" s="8">
        <v>262.261520490356</v>
      </c>
      <c r="Y395" s="18">
        <v>59.7750502424211</v>
      </c>
      <c r="Z395" s="3">
        <v>0.615281350066453</v>
      </c>
    </row>
    <row r="396" spans="2:26">
      <c r="B396" s="1">
        <v>55</v>
      </c>
      <c r="C396" s="1">
        <v>8.2</v>
      </c>
      <c r="D396" s="1">
        <v>0.03</v>
      </c>
      <c r="E396" s="1">
        <v>1</v>
      </c>
      <c r="F396" s="2">
        <v>0</v>
      </c>
      <c r="G396" s="1">
        <v>20</v>
      </c>
      <c r="H396" s="3">
        <v>0.89760467536325</v>
      </c>
      <c r="I396" s="4">
        <v>20.1</v>
      </c>
      <c r="J396" s="1">
        <v>13.2</v>
      </c>
      <c r="K396" s="7">
        <v>287.685213322679</v>
      </c>
      <c r="L396" s="8">
        <v>67.047161754564</v>
      </c>
      <c r="M396" s="9">
        <v>0.600776181320166</v>
      </c>
      <c r="O396" s="1">
        <v>55</v>
      </c>
      <c r="P396" s="1">
        <v>8.2</v>
      </c>
      <c r="Q396" s="1">
        <v>0.03</v>
      </c>
      <c r="R396" s="1">
        <v>1</v>
      </c>
      <c r="S396" s="2">
        <v>0</v>
      </c>
      <c r="T396" s="1">
        <v>20</v>
      </c>
      <c r="U396" s="17">
        <v>0.89760467536325</v>
      </c>
      <c r="V396" s="4">
        <v>20.1</v>
      </c>
      <c r="W396" s="1">
        <v>13.2</v>
      </c>
      <c r="X396" s="8">
        <v>287.685213322679</v>
      </c>
      <c r="Y396" s="18">
        <v>67.047161754564</v>
      </c>
      <c r="Z396" s="3">
        <v>0.600776181320166</v>
      </c>
    </row>
    <row r="397" spans="2:26">
      <c r="B397" s="1">
        <v>55</v>
      </c>
      <c r="C397" s="1">
        <v>9</v>
      </c>
      <c r="D397" s="1">
        <v>0.03</v>
      </c>
      <c r="E397" s="1">
        <v>1</v>
      </c>
      <c r="F397" s="2">
        <v>0</v>
      </c>
      <c r="G397" s="1">
        <v>20</v>
      </c>
      <c r="H397" s="3">
        <v>0.89760467536325</v>
      </c>
      <c r="I397" s="4">
        <v>20.2</v>
      </c>
      <c r="J397" s="1">
        <v>14.1</v>
      </c>
      <c r="K397" s="7">
        <v>312.193129511332</v>
      </c>
      <c r="L397" s="8">
        <v>74.2774278558333</v>
      </c>
      <c r="M397" s="9">
        <v>0.584704205156117</v>
      </c>
      <c r="O397" s="1">
        <v>55</v>
      </c>
      <c r="P397" s="1">
        <v>9</v>
      </c>
      <c r="Q397" s="1">
        <v>0.03</v>
      </c>
      <c r="R397" s="1">
        <v>1</v>
      </c>
      <c r="S397" s="2">
        <v>0</v>
      </c>
      <c r="T397" s="1">
        <v>20</v>
      </c>
      <c r="U397" s="17">
        <v>0.89760467536325</v>
      </c>
      <c r="V397" s="4">
        <v>20.2</v>
      </c>
      <c r="W397" s="1">
        <v>14.1</v>
      </c>
      <c r="X397" s="8">
        <v>312.193129511332</v>
      </c>
      <c r="Y397" s="18">
        <v>74.2774278558333</v>
      </c>
      <c r="Z397" s="3">
        <v>0.584704205156117</v>
      </c>
    </row>
    <row r="398" spans="2:26">
      <c r="B398" s="1">
        <v>55</v>
      </c>
      <c r="C398" s="1">
        <v>9.8</v>
      </c>
      <c r="D398" s="1">
        <v>0.03</v>
      </c>
      <c r="E398" s="1">
        <v>1</v>
      </c>
      <c r="F398" s="2">
        <v>0</v>
      </c>
      <c r="G398" s="1">
        <v>20</v>
      </c>
      <c r="H398" s="3">
        <v>0.89760467536325</v>
      </c>
      <c r="I398" s="4">
        <v>20.2</v>
      </c>
      <c r="J398" s="1">
        <v>15</v>
      </c>
      <c r="K398" s="7">
        <v>336.696725281607</v>
      </c>
      <c r="L398" s="8">
        <v>81.9393862894093</v>
      </c>
      <c r="M398" s="9">
        <v>0.571257327899511</v>
      </c>
      <c r="O398" s="1">
        <v>55</v>
      </c>
      <c r="P398" s="1">
        <v>9.8</v>
      </c>
      <c r="Q398" s="1">
        <v>0.03</v>
      </c>
      <c r="R398" s="1">
        <v>1</v>
      </c>
      <c r="S398" s="2">
        <v>0</v>
      </c>
      <c r="T398" s="1">
        <v>20</v>
      </c>
      <c r="U398" s="17">
        <v>0.89760467536325</v>
      </c>
      <c r="V398" s="4">
        <v>20.2</v>
      </c>
      <c r="W398" s="1">
        <v>15</v>
      </c>
      <c r="X398" s="8">
        <v>336.696725281607</v>
      </c>
      <c r="Y398" s="18">
        <v>81.9393862894093</v>
      </c>
      <c r="Z398" s="3">
        <v>0.571257327899511</v>
      </c>
    </row>
    <row r="399" spans="2:26">
      <c r="B399" s="1">
        <v>50</v>
      </c>
      <c r="C399" s="1">
        <v>5</v>
      </c>
      <c r="D399" s="1">
        <v>0.03</v>
      </c>
      <c r="E399" s="1">
        <v>1</v>
      </c>
      <c r="F399" s="2">
        <v>0</v>
      </c>
      <c r="G399" s="1">
        <v>20</v>
      </c>
      <c r="H399" s="3">
        <v>0.920818198615511</v>
      </c>
      <c r="I399" s="4">
        <v>20.1</v>
      </c>
      <c r="J399" s="1">
        <v>7.5</v>
      </c>
      <c r="K399" s="7">
        <v>146.716353172489</v>
      </c>
      <c r="L399" s="8">
        <v>35.4745758672982</v>
      </c>
      <c r="M399" s="9">
        <v>0.688220678563732</v>
      </c>
      <c r="O399" s="1">
        <v>50</v>
      </c>
      <c r="P399" s="1">
        <v>5</v>
      </c>
      <c r="Q399" s="1">
        <v>0.03</v>
      </c>
      <c r="R399" s="1">
        <v>1</v>
      </c>
      <c r="S399" s="2">
        <v>0</v>
      </c>
      <c r="T399" s="1">
        <v>20</v>
      </c>
      <c r="U399" s="17">
        <v>0.920818198615511</v>
      </c>
      <c r="V399" s="4">
        <v>20.1</v>
      </c>
      <c r="W399" s="1">
        <v>7.5</v>
      </c>
      <c r="X399" s="8">
        <v>146.716353172489</v>
      </c>
      <c r="Y399" s="18">
        <v>35.4745758672982</v>
      </c>
      <c r="Z399" s="3">
        <v>0.688220678563732</v>
      </c>
    </row>
    <row r="400" spans="2:26">
      <c r="B400" s="1">
        <v>50</v>
      </c>
      <c r="C400" s="1">
        <v>5.8</v>
      </c>
      <c r="D400" s="1">
        <v>0.03</v>
      </c>
      <c r="E400" s="1">
        <v>1</v>
      </c>
      <c r="F400" s="2">
        <v>0</v>
      </c>
      <c r="G400" s="1">
        <v>20</v>
      </c>
      <c r="H400" s="3">
        <v>0.920818198615511</v>
      </c>
      <c r="I400" s="4">
        <v>20.1</v>
      </c>
      <c r="J400" s="1">
        <v>8.2</v>
      </c>
      <c r="K400" s="7">
        <v>165.617840223818</v>
      </c>
      <c r="L400" s="8">
        <v>40.386508845754</v>
      </c>
      <c r="M400" s="9">
        <v>0.648678286962426</v>
      </c>
      <c r="O400" s="1">
        <v>50</v>
      </c>
      <c r="P400" s="1">
        <v>5.8</v>
      </c>
      <c r="Q400" s="1">
        <v>0.03</v>
      </c>
      <c r="R400" s="1">
        <v>1</v>
      </c>
      <c r="S400" s="2">
        <v>0</v>
      </c>
      <c r="T400" s="1">
        <v>20</v>
      </c>
      <c r="U400" s="17">
        <v>0.920818198615511</v>
      </c>
      <c r="V400" s="4">
        <v>20.1</v>
      </c>
      <c r="W400" s="1">
        <v>8.2</v>
      </c>
      <c r="X400" s="8">
        <v>165.617840223818</v>
      </c>
      <c r="Y400" s="18">
        <v>40.386508845754</v>
      </c>
      <c r="Z400" s="3">
        <v>0.648678286962426</v>
      </c>
    </row>
    <row r="401" spans="2:26">
      <c r="B401" s="1">
        <v>50</v>
      </c>
      <c r="C401" s="1">
        <v>6.6</v>
      </c>
      <c r="D401" s="1">
        <v>0.03</v>
      </c>
      <c r="E401" s="1">
        <v>1</v>
      </c>
      <c r="F401" s="2">
        <v>0</v>
      </c>
      <c r="G401" s="1">
        <v>20</v>
      </c>
      <c r="H401" s="3">
        <v>0.920818198615511</v>
      </c>
      <c r="I401" s="4">
        <v>20.1</v>
      </c>
      <c r="J401" s="1">
        <v>8.9</v>
      </c>
      <c r="K401" s="7">
        <v>184.514952162176</v>
      </c>
      <c r="L401" s="8">
        <v>45.4650521519121</v>
      </c>
      <c r="M401" s="9">
        <v>0.618723508221484</v>
      </c>
      <c r="O401" s="1">
        <v>50</v>
      </c>
      <c r="P401" s="1">
        <v>6.6</v>
      </c>
      <c r="Q401" s="1">
        <v>0.03</v>
      </c>
      <c r="R401" s="1">
        <v>1</v>
      </c>
      <c r="S401" s="2">
        <v>0</v>
      </c>
      <c r="T401" s="1">
        <v>20</v>
      </c>
      <c r="U401" s="17">
        <v>0.920818198615511</v>
      </c>
      <c r="V401" s="4">
        <v>20.1</v>
      </c>
      <c r="W401" s="1">
        <v>8.9</v>
      </c>
      <c r="X401" s="8">
        <v>184.514952162176</v>
      </c>
      <c r="Y401" s="18">
        <v>45.4650521519121</v>
      </c>
      <c r="Z401" s="3">
        <v>0.618723508221484</v>
      </c>
    </row>
    <row r="402" spans="2:26">
      <c r="B402" s="1">
        <v>50</v>
      </c>
      <c r="C402" s="1">
        <v>7.4</v>
      </c>
      <c r="D402" s="1">
        <v>0.03</v>
      </c>
      <c r="E402" s="1">
        <v>1</v>
      </c>
      <c r="F402" s="2">
        <v>0</v>
      </c>
      <c r="G402" s="1">
        <v>20</v>
      </c>
      <c r="H402" s="3">
        <v>0.920818198615511</v>
      </c>
      <c r="I402" s="4">
        <v>20.1</v>
      </c>
      <c r="J402" s="1">
        <v>9.6</v>
      </c>
      <c r="K402" s="7">
        <v>203.407686777567</v>
      </c>
      <c r="L402" s="8">
        <v>50.7340689602837</v>
      </c>
      <c r="M402" s="9">
        <v>0.595246846278087</v>
      </c>
      <c r="O402" s="1">
        <v>50</v>
      </c>
      <c r="P402" s="1">
        <v>7.4</v>
      </c>
      <c r="Q402" s="1">
        <v>0.03</v>
      </c>
      <c r="R402" s="1">
        <v>1</v>
      </c>
      <c r="S402" s="2">
        <v>0</v>
      </c>
      <c r="T402" s="1">
        <v>20</v>
      </c>
      <c r="U402" s="17">
        <v>0.920818198615511</v>
      </c>
      <c r="V402" s="4">
        <v>20.1</v>
      </c>
      <c r="W402" s="1">
        <v>9.6</v>
      </c>
      <c r="X402" s="8">
        <v>203.407686777567</v>
      </c>
      <c r="Y402" s="18">
        <v>50.7340689602837</v>
      </c>
      <c r="Z402" s="3">
        <v>0.595246846278087</v>
      </c>
    </row>
    <row r="403" spans="2:26">
      <c r="B403" s="1">
        <v>50</v>
      </c>
      <c r="C403" s="1">
        <v>8.2</v>
      </c>
      <c r="D403" s="1">
        <v>0.03</v>
      </c>
      <c r="E403" s="1">
        <v>1</v>
      </c>
      <c r="F403" s="2">
        <v>0</v>
      </c>
      <c r="G403" s="1">
        <v>20</v>
      </c>
      <c r="H403" s="3">
        <v>0.920818198615511</v>
      </c>
      <c r="I403" s="4">
        <v>20.1</v>
      </c>
      <c r="J403" s="1">
        <v>10.2</v>
      </c>
      <c r="K403" s="7">
        <v>221.384583525098</v>
      </c>
      <c r="L403" s="8">
        <v>55.7604795619364</v>
      </c>
      <c r="M403" s="9">
        <v>0.570756613870426</v>
      </c>
      <c r="O403" s="1">
        <v>50</v>
      </c>
      <c r="P403" s="1">
        <v>8.2</v>
      </c>
      <c r="Q403" s="1">
        <v>0.03</v>
      </c>
      <c r="R403" s="1">
        <v>1</v>
      </c>
      <c r="S403" s="2">
        <v>0</v>
      </c>
      <c r="T403" s="1">
        <v>20</v>
      </c>
      <c r="U403" s="17">
        <v>0.920818198615511</v>
      </c>
      <c r="V403" s="4">
        <v>20.1</v>
      </c>
      <c r="W403" s="1">
        <v>10.2</v>
      </c>
      <c r="X403" s="8">
        <v>221.384583525098</v>
      </c>
      <c r="Y403" s="18">
        <v>55.7604795619364</v>
      </c>
      <c r="Z403" s="3">
        <v>0.570756613870426</v>
      </c>
    </row>
    <row r="404" spans="2:26">
      <c r="B404" s="1">
        <v>50</v>
      </c>
      <c r="C404" s="1">
        <v>9</v>
      </c>
      <c r="D404" s="1">
        <v>0.03</v>
      </c>
      <c r="E404" s="1">
        <v>1</v>
      </c>
      <c r="F404" s="2">
        <v>0</v>
      </c>
      <c r="G404" s="1">
        <v>20</v>
      </c>
      <c r="H404" s="3">
        <v>0.920818198615511</v>
      </c>
      <c r="I404" s="4">
        <v>20.2</v>
      </c>
      <c r="J404" s="1">
        <v>10.9</v>
      </c>
      <c r="K404" s="7">
        <v>240.268556858312</v>
      </c>
      <c r="L404" s="8">
        <v>61.4530680950121</v>
      </c>
      <c r="M404" s="9">
        <v>0.555719537155636</v>
      </c>
      <c r="O404" s="1">
        <v>50</v>
      </c>
      <c r="P404" s="1">
        <v>9</v>
      </c>
      <c r="Q404" s="1">
        <v>0.03</v>
      </c>
      <c r="R404" s="1">
        <v>1</v>
      </c>
      <c r="S404" s="2">
        <v>0</v>
      </c>
      <c r="T404" s="1">
        <v>20</v>
      </c>
      <c r="U404" s="17">
        <v>0.920818198615511</v>
      </c>
      <c r="V404" s="4">
        <v>20.2</v>
      </c>
      <c r="W404" s="1">
        <v>10.9</v>
      </c>
      <c r="X404" s="8">
        <v>240.268556858312</v>
      </c>
      <c r="Y404" s="18">
        <v>61.4530680950121</v>
      </c>
      <c r="Z404" s="3">
        <v>0.555719537155636</v>
      </c>
    </row>
    <row r="405" spans="2:26">
      <c r="B405" s="1">
        <v>50</v>
      </c>
      <c r="C405" s="1">
        <v>9.8</v>
      </c>
      <c r="D405" s="1">
        <v>0.03</v>
      </c>
      <c r="E405" s="1">
        <v>1</v>
      </c>
      <c r="F405" s="2">
        <v>0</v>
      </c>
      <c r="G405" s="1">
        <v>20</v>
      </c>
      <c r="H405" s="3">
        <v>0.920818198615511</v>
      </c>
      <c r="I405" s="4">
        <v>20.2</v>
      </c>
      <c r="J405" s="1">
        <v>11.7</v>
      </c>
      <c r="K405" s="7">
        <v>260.059604562523</v>
      </c>
      <c r="L405" s="8">
        <v>67.9464140527719</v>
      </c>
      <c r="M405" s="9">
        <v>0.547820785402438</v>
      </c>
      <c r="O405" s="1">
        <v>50</v>
      </c>
      <c r="P405" s="1">
        <v>9.8</v>
      </c>
      <c r="Q405" s="1">
        <v>0.03</v>
      </c>
      <c r="R405" s="1">
        <v>1</v>
      </c>
      <c r="S405" s="2">
        <v>0</v>
      </c>
      <c r="T405" s="1">
        <v>20</v>
      </c>
      <c r="U405" s="17">
        <v>0.920818198615511</v>
      </c>
      <c r="V405" s="4">
        <v>20.2</v>
      </c>
      <c r="W405" s="1">
        <v>11.7</v>
      </c>
      <c r="X405" s="8">
        <v>260.059604562523</v>
      </c>
      <c r="Y405" s="18">
        <v>67.9464140527719</v>
      </c>
      <c r="Z405" s="3">
        <v>0.547820785402438</v>
      </c>
    </row>
    <row r="406" spans="2:26">
      <c r="B406" s="1">
        <v>65</v>
      </c>
      <c r="C406" s="1">
        <v>5</v>
      </c>
      <c r="D406" s="1">
        <v>0.126</v>
      </c>
      <c r="E406" s="1">
        <v>1</v>
      </c>
      <c r="F406" s="2">
        <v>0</v>
      </c>
      <c r="G406" s="1">
        <v>20</v>
      </c>
      <c r="H406" s="3">
        <v>0.831152647810126</v>
      </c>
      <c r="I406" s="4">
        <v>20.1</v>
      </c>
      <c r="J406" s="1">
        <v>4</v>
      </c>
      <c r="K406" s="7">
        <v>317.498865451363</v>
      </c>
      <c r="L406" s="8">
        <v>46.7022756132352</v>
      </c>
      <c r="M406" s="9">
        <v>0.841624899551753</v>
      </c>
      <c r="O406" s="1">
        <v>65</v>
      </c>
      <c r="P406" s="1">
        <v>5</v>
      </c>
      <c r="Q406" s="1">
        <v>0.126</v>
      </c>
      <c r="R406" s="1">
        <v>1</v>
      </c>
      <c r="S406" s="2">
        <v>0</v>
      </c>
      <c r="T406" s="1">
        <v>20</v>
      </c>
      <c r="U406" s="17">
        <v>0.831152647810126</v>
      </c>
      <c r="V406" s="4">
        <v>20.1</v>
      </c>
      <c r="W406" s="1">
        <v>4</v>
      </c>
      <c r="X406" s="8">
        <v>317.498865451363</v>
      </c>
      <c r="Y406" s="18">
        <v>46.7022756132352</v>
      </c>
      <c r="Z406" s="3">
        <v>0.841624899551753</v>
      </c>
    </row>
    <row r="407" spans="2:26">
      <c r="B407" s="1">
        <v>65</v>
      </c>
      <c r="C407" s="1">
        <v>5.8</v>
      </c>
      <c r="D407" s="1">
        <v>0.126</v>
      </c>
      <c r="E407" s="1">
        <v>1</v>
      </c>
      <c r="F407" s="2">
        <v>0</v>
      </c>
      <c r="G407" s="1">
        <v>20</v>
      </c>
      <c r="H407" s="3">
        <v>0.831152647810126</v>
      </c>
      <c r="I407" s="4">
        <v>20.1</v>
      </c>
      <c r="J407" s="1">
        <v>4.8</v>
      </c>
      <c r="K407" s="7">
        <v>374.408633355796</v>
      </c>
      <c r="L407" s="8">
        <v>55.1119600228966</v>
      </c>
      <c r="M407" s="9">
        <v>0.870660233721183</v>
      </c>
      <c r="O407" s="1">
        <v>65</v>
      </c>
      <c r="P407" s="1">
        <v>5.8</v>
      </c>
      <c r="Q407" s="1">
        <v>0.126</v>
      </c>
      <c r="R407" s="1">
        <v>1</v>
      </c>
      <c r="S407" s="2">
        <v>0</v>
      </c>
      <c r="T407" s="1">
        <v>20</v>
      </c>
      <c r="U407" s="17">
        <v>0.831152647810126</v>
      </c>
      <c r="V407" s="4">
        <v>20.1</v>
      </c>
      <c r="W407" s="1">
        <v>4.8</v>
      </c>
      <c r="X407" s="8">
        <v>374.408633355796</v>
      </c>
      <c r="Y407" s="18">
        <v>55.1119600228966</v>
      </c>
      <c r="Z407" s="3">
        <v>0.870660233721183</v>
      </c>
    </row>
    <row r="408" spans="2:26">
      <c r="B408" s="1">
        <v>65</v>
      </c>
      <c r="C408" s="1">
        <v>6.6</v>
      </c>
      <c r="D408" s="1">
        <v>0.126</v>
      </c>
      <c r="E408" s="1">
        <v>1</v>
      </c>
      <c r="F408" s="2">
        <v>0</v>
      </c>
      <c r="G408" s="1">
        <v>20</v>
      </c>
      <c r="H408" s="3">
        <v>0.831152647810126</v>
      </c>
      <c r="I408" s="4">
        <v>20.1</v>
      </c>
      <c r="J408" s="1">
        <v>5.7</v>
      </c>
      <c r="K408" s="7">
        <v>435.142369349703</v>
      </c>
      <c r="L408" s="8">
        <v>64.3216394677379</v>
      </c>
      <c r="M408" s="9">
        <v>0.908601107606523</v>
      </c>
      <c r="O408" s="1">
        <v>65</v>
      </c>
      <c r="P408" s="1">
        <v>6.6</v>
      </c>
      <c r="Q408" s="1">
        <v>0.126</v>
      </c>
      <c r="R408" s="1">
        <v>1</v>
      </c>
      <c r="S408" s="2">
        <v>0</v>
      </c>
      <c r="T408" s="1">
        <v>20</v>
      </c>
      <c r="U408" s="17">
        <v>0.831152647810126</v>
      </c>
      <c r="V408" s="4">
        <v>20.1</v>
      </c>
      <c r="W408" s="1">
        <v>5.7</v>
      </c>
      <c r="X408" s="8">
        <v>435.142369349703</v>
      </c>
      <c r="Y408" s="18">
        <v>64.3216394677379</v>
      </c>
      <c r="Z408" s="3">
        <v>0.908601107606523</v>
      </c>
    </row>
    <row r="409" spans="2:26">
      <c r="B409" s="1">
        <v>65</v>
      </c>
      <c r="C409" s="1">
        <v>7.4</v>
      </c>
      <c r="D409" s="1">
        <v>0.126</v>
      </c>
      <c r="E409" s="1">
        <v>1</v>
      </c>
      <c r="F409" s="2">
        <v>0</v>
      </c>
      <c r="G409" s="1">
        <v>20</v>
      </c>
      <c r="H409" s="3">
        <v>0.831152647810126</v>
      </c>
      <c r="I409" s="4">
        <v>20.1</v>
      </c>
      <c r="J409" s="1">
        <v>6.2</v>
      </c>
      <c r="K409" s="7">
        <v>480.55944660105</v>
      </c>
      <c r="L409" s="8">
        <v>70.8180967534233</v>
      </c>
      <c r="M409" s="9">
        <v>0.881473352679921</v>
      </c>
      <c r="O409" s="1">
        <v>65</v>
      </c>
      <c r="P409" s="1">
        <v>7.4</v>
      </c>
      <c r="Q409" s="1">
        <v>0.126</v>
      </c>
      <c r="R409" s="1">
        <v>1</v>
      </c>
      <c r="S409" s="2">
        <v>0</v>
      </c>
      <c r="T409" s="1">
        <v>20</v>
      </c>
      <c r="U409" s="17">
        <v>0.831152647810126</v>
      </c>
      <c r="V409" s="4">
        <v>20.1</v>
      </c>
      <c r="W409" s="1">
        <v>6.2</v>
      </c>
      <c r="X409" s="8">
        <v>480.55944660105</v>
      </c>
      <c r="Y409" s="18">
        <v>70.8180967534233</v>
      </c>
      <c r="Z409" s="3">
        <v>0.881473352679921</v>
      </c>
    </row>
    <row r="410" spans="2:26">
      <c r="B410" s="1">
        <v>65</v>
      </c>
      <c r="C410" s="1">
        <v>8.2</v>
      </c>
      <c r="D410" s="1">
        <v>0.126</v>
      </c>
      <c r="E410" s="1">
        <v>1</v>
      </c>
      <c r="F410" s="2">
        <v>0</v>
      </c>
      <c r="G410" s="1">
        <v>20</v>
      </c>
      <c r="H410" s="3">
        <v>0.831152647810126</v>
      </c>
      <c r="I410" s="4">
        <v>20.1</v>
      </c>
      <c r="J410" s="1">
        <v>6.9</v>
      </c>
      <c r="K410" s="7">
        <v>533.628613276489</v>
      </c>
      <c r="L410" s="8">
        <v>78.8118170836414</v>
      </c>
      <c r="M410" s="9">
        <v>0.885301770573152</v>
      </c>
      <c r="O410" s="1">
        <v>65</v>
      </c>
      <c r="P410" s="1">
        <v>8.2</v>
      </c>
      <c r="Q410" s="1">
        <v>0.126</v>
      </c>
      <c r="R410" s="1">
        <v>1</v>
      </c>
      <c r="S410" s="2">
        <v>0</v>
      </c>
      <c r="T410" s="1">
        <v>20</v>
      </c>
      <c r="U410" s="17">
        <v>0.831152647810126</v>
      </c>
      <c r="V410" s="4">
        <v>20.1</v>
      </c>
      <c r="W410" s="1">
        <v>6.9</v>
      </c>
      <c r="X410" s="8">
        <v>533.628613276489</v>
      </c>
      <c r="Y410" s="18">
        <v>78.8118170836414</v>
      </c>
      <c r="Z410" s="3">
        <v>0.885301770573152</v>
      </c>
    </row>
    <row r="411" spans="2:26">
      <c r="B411" s="1">
        <v>65</v>
      </c>
      <c r="C411" s="1">
        <v>9</v>
      </c>
      <c r="D411" s="1">
        <v>0.126</v>
      </c>
      <c r="E411" s="1">
        <v>1</v>
      </c>
      <c r="F411" s="2">
        <v>0</v>
      </c>
      <c r="G411" s="1">
        <v>20</v>
      </c>
      <c r="H411" s="3">
        <v>0.831152647810126</v>
      </c>
      <c r="I411" s="4">
        <v>20.2</v>
      </c>
      <c r="J411" s="1">
        <v>7.3</v>
      </c>
      <c r="K411" s="7">
        <v>575.209242541356</v>
      </c>
      <c r="L411" s="8">
        <v>84.6619169941341</v>
      </c>
      <c r="M411" s="9">
        <v>0.853381691604336</v>
      </c>
      <c r="O411" s="1">
        <v>65</v>
      </c>
      <c r="P411" s="1">
        <v>9</v>
      </c>
      <c r="Q411" s="1">
        <v>0.126</v>
      </c>
      <c r="R411" s="1">
        <v>1</v>
      </c>
      <c r="S411" s="2">
        <v>0</v>
      </c>
      <c r="T411" s="1">
        <v>20</v>
      </c>
      <c r="U411" s="17">
        <v>0.831152647810126</v>
      </c>
      <c r="V411" s="4">
        <v>20.2</v>
      </c>
      <c r="W411" s="1">
        <v>7.3</v>
      </c>
      <c r="X411" s="8">
        <v>575.209242541356</v>
      </c>
      <c r="Y411" s="18">
        <v>84.6619169941341</v>
      </c>
      <c r="Z411" s="3">
        <v>0.853381691604336</v>
      </c>
    </row>
    <row r="412" spans="2:26">
      <c r="B412" s="1">
        <v>65</v>
      </c>
      <c r="C412" s="1">
        <v>9.8</v>
      </c>
      <c r="D412" s="1">
        <v>0.126</v>
      </c>
      <c r="E412" s="1">
        <v>1</v>
      </c>
      <c r="F412" s="2">
        <v>0</v>
      </c>
      <c r="G412" s="1">
        <v>20</v>
      </c>
      <c r="H412" s="3">
        <v>0.831152647810126</v>
      </c>
      <c r="I412" s="4">
        <v>20.2</v>
      </c>
      <c r="J412" s="1">
        <v>7.7</v>
      </c>
      <c r="K412" s="7">
        <v>616.785707559675</v>
      </c>
      <c r="L412" s="8">
        <v>90.5345561230523</v>
      </c>
      <c r="M412" s="9">
        <v>0.826674413934381</v>
      </c>
      <c r="O412" s="1">
        <v>65</v>
      </c>
      <c r="P412" s="1">
        <v>9.8</v>
      </c>
      <c r="Q412" s="1">
        <v>0.126</v>
      </c>
      <c r="R412" s="1">
        <v>1</v>
      </c>
      <c r="S412" s="2">
        <v>0</v>
      </c>
      <c r="T412" s="1">
        <v>20</v>
      </c>
      <c r="U412" s="17">
        <v>0.831152647810126</v>
      </c>
      <c r="V412" s="4">
        <v>20.2</v>
      </c>
      <c r="W412" s="1">
        <v>7.7</v>
      </c>
      <c r="X412" s="8">
        <v>616.785707559675</v>
      </c>
      <c r="Y412" s="18">
        <v>90.5345561230523</v>
      </c>
      <c r="Z412" s="3">
        <v>0.826674413934381</v>
      </c>
    </row>
    <row r="413" spans="2:26">
      <c r="B413" s="1">
        <v>60</v>
      </c>
      <c r="C413" s="1">
        <v>5</v>
      </c>
      <c r="D413" s="1">
        <v>0.126</v>
      </c>
      <c r="E413" s="1">
        <v>1</v>
      </c>
      <c r="F413" s="2">
        <v>0</v>
      </c>
      <c r="G413" s="1">
        <v>20</v>
      </c>
      <c r="H413" s="3">
        <v>0.868253123396246</v>
      </c>
      <c r="I413" s="4">
        <v>20.1</v>
      </c>
      <c r="J413" s="1">
        <v>3.4</v>
      </c>
      <c r="K413" s="7">
        <v>260.680049590211</v>
      </c>
      <c r="L413" s="8">
        <v>42.1561301387369</v>
      </c>
      <c r="M413" s="9">
        <v>0.871156354752309</v>
      </c>
      <c r="O413" s="1">
        <v>60</v>
      </c>
      <c r="P413" s="1">
        <v>5</v>
      </c>
      <c r="Q413" s="1">
        <v>0.126</v>
      </c>
      <c r="R413" s="1">
        <v>1</v>
      </c>
      <c r="S413" s="2">
        <v>0</v>
      </c>
      <c r="T413" s="1">
        <v>20</v>
      </c>
      <c r="U413" s="17">
        <v>0.868253123396246</v>
      </c>
      <c r="V413" s="4">
        <v>20.1</v>
      </c>
      <c r="W413" s="1">
        <v>3.4</v>
      </c>
      <c r="X413" s="8">
        <v>260.680049590211</v>
      </c>
      <c r="Y413" s="18">
        <v>42.1561301387369</v>
      </c>
      <c r="Z413" s="3">
        <v>0.871156354752309</v>
      </c>
    </row>
    <row r="414" spans="2:26">
      <c r="B414" s="1">
        <v>60</v>
      </c>
      <c r="C414" s="1">
        <v>5.8</v>
      </c>
      <c r="D414" s="1">
        <v>0.126</v>
      </c>
      <c r="E414" s="1">
        <v>1</v>
      </c>
      <c r="F414" s="2">
        <v>0</v>
      </c>
      <c r="G414" s="1">
        <v>20</v>
      </c>
      <c r="H414" s="3">
        <v>0.868253123396246</v>
      </c>
      <c r="I414" s="4">
        <v>20.1</v>
      </c>
      <c r="J414" s="1">
        <v>4</v>
      </c>
      <c r="K414" s="7">
        <v>304.517257743304</v>
      </c>
      <c r="L414" s="8">
        <v>49.1333704056833</v>
      </c>
      <c r="M414" s="9">
        <v>0.883539816241845</v>
      </c>
      <c r="O414" s="1">
        <v>60</v>
      </c>
      <c r="P414" s="1">
        <v>5.8</v>
      </c>
      <c r="Q414" s="1">
        <v>0.126</v>
      </c>
      <c r="R414" s="1">
        <v>1</v>
      </c>
      <c r="S414" s="2">
        <v>0</v>
      </c>
      <c r="T414" s="1">
        <v>20</v>
      </c>
      <c r="U414" s="17">
        <v>0.868253123396246</v>
      </c>
      <c r="V414" s="4">
        <v>20.1</v>
      </c>
      <c r="W414" s="1">
        <v>4</v>
      </c>
      <c r="X414" s="8">
        <v>304.517257743304</v>
      </c>
      <c r="Y414" s="18">
        <v>49.1333704056833</v>
      </c>
      <c r="Z414" s="3">
        <v>0.883539816241845</v>
      </c>
    </row>
    <row r="415" spans="2:26">
      <c r="B415" s="1">
        <v>60</v>
      </c>
      <c r="C415" s="1">
        <v>6.6</v>
      </c>
      <c r="D415" s="1">
        <v>0.126</v>
      </c>
      <c r="E415" s="1">
        <v>1</v>
      </c>
      <c r="F415" s="2">
        <v>0</v>
      </c>
      <c r="G415" s="1">
        <v>20</v>
      </c>
      <c r="H415" s="3">
        <v>0.868253123396246</v>
      </c>
      <c r="I415" s="4">
        <v>20.1</v>
      </c>
      <c r="J415" s="1">
        <v>4.4</v>
      </c>
      <c r="K415" s="7">
        <v>340.693976041742</v>
      </c>
      <c r="L415" s="8">
        <v>54.6628425468303</v>
      </c>
      <c r="M415" s="9">
        <v>0.854102120467263</v>
      </c>
      <c r="O415" s="1">
        <v>60</v>
      </c>
      <c r="P415" s="1">
        <v>6.6</v>
      </c>
      <c r="Q415" s="1">
        <v>0.126</v>
      </c>
      <c r="R415" s="1">
        <v>1</v>
      </c>
      <c r="S415" s="2">
        <v>0</v>
      </c>
      <c r="T415" s="1">
        <v>20</v>
      </c>
      <c r="U415" s="17">
        <v>0.868253123396246</v>
      </c>
      <c r="V415" s="4">
        <v>20.1</v>
      </c>
      <c r="W415" s="1">
        <v>4.4</v>
      </c>
      <c r="X415" s="8">
        <v>340.693976041742</v>
      </c>
      <c r="Y415" s="18">
        <v>54.6628425468303</v>
      </c>
      <c r="Z415" s="3">
        <v>0.854102120467263</v>
      </c>
    </row>
    <row r="416" spans="2:26">
      <c r="B416" s="1">
        <v>60</v>
      </c>
      <c r="C416" s="1">
        <v>7.4</v>
      </c>
      <c r="D416" s="1">
        <v>0.126</v>
      </c>
      <c r="E416" s="1">
        <v>1</v>
      </c>
      <c r="F416" s="2">
        <v>0</v>
      </c>
      <c r="G416" s="1">
        <v>20</v>
      </c>
      <c r="H416" s="3">
        <v>0.868253123396246</v>
      </c>
      <c r="I416" s="4">
        <v>20.1</v>
      </c>
      <c r="J416" s="1">
        <v>5</v>
      </c>
      <c r="K416" s="7">
        <v>384.522702506919</v>
      </c>
      <c r="L416" s="8">
        <v>61.7041374147572</v>
      </c>
      <c r="M416" s="9">
        <v>0.865657856656159</v>
      </c>
      <c r="O416" s="1">
        <v>60</v>
      </c>
      <c r="P416" s="1">
        <v>7.4</v>
      </c>
      <c r="Q416" s="1">
        <v>0.126</v>
      </c>
      <c r="R416" s="1">
        <v>1</v>
      </c>
      <c r="S416" s="2">
        <v>0</v>
      </c>
      <c r="T416" s="1">
        <v>20</v>
      </c>
      <c r="U416" s="17">
        <v>0.868253123396246</v>
      </c>
      <c r="V416" s="4">
        <v>20.1</v>
      </c>
      <c r="W416" s="1">
        <v>5</v>
      </c>
      <c r="X416" s="8">
        <v>384.522702506919</v>
      </c>
      <c r="Y416" s="18">
        <v>61.7041374147572</v>
      </c>
      <c r="Z416" s="3">
        <v>0.865657856656159</v>
      </c>
    </row>
    <row r="417" spans="2:26">
      <c r="B417" s="1">
        <v>60</v>
      </c>
      <c r="C417" s="1">
        <v>8.2</v>
      </c>
      <c r="D417" s="1">
        <v>0.126</v>
      </c>
      <c r="E417" s="1">
        <v>1</v>
      </c>
      <c r="F417" s="2">
        <v>0</v>
      </c>
      <c r="G417" s="1">
        <v>20</v>
      </c>
      <c r="H417" s="3">
        <v>0.868253123396246</v>
      </c>
      <c r="I417" s="4">
        <v>20.1</v>
      </c>
      <c r="J417" s="1">
        <v>5.4</v>
      </c>
      <c r="K417" s="7">
        <v>420.690935158816</v>
      </c>
      <c r="L417" s="8">
        <v>67.2661919834195</v>
      </c>
      <c r="M417" s="9">
        <v>0.843713171342343</v>
      </c>
      <c r="O417" s="1">
        <v>60</v>
      </c>
      <c r="P417" s="1">
        <v>8.2</v>
      </c>
      <c r="Q417" s="1">
        <v>0.126</v>
      </c>
      <c r="R417" s="1">
        <v>1</v>
      </c>
      <c r="S417" s="2">
        <v>0</v>
      </c>
      <c r="T417" s="1">
        <v>20</v>
      </c>
      <c r="U417" s="17">
        <v>0.868253123396246</v>
      </c>
      <c r="V417" s="4">
        <v>20.1</v>
      </c>
      <c r="W417" s="1">
        <v>5.4</v>
      </c>
      <c r="X417" s="8">
        <v>420.690935158816</v>
      </c>
      <c r="Y417" s="18">
        <v>67.2661919834195</v>
      </c>
      <c r="Z417" s="3">
        <v>0.843713171342343</v>
      </c>
    </row>
    <row r="418" spans="2:26">
      <c r="B418" s="1">
        <v>60</v>
      </c>
      <c r="C418" s="1">
        <v>9</v>
      </c>
      <c r="D418" s="1">
        <v>0.126</v>
      </c>
      <c r="E418" s="1">
        <v>1</v>
      </c>
      <c r="F418" s="2">
        <v>0</v>
      </c>
      <c r="G418" s="1">
        <v>20</v>
      </c>
      <c r="H418" s="3">
        <v>0.868253123396246</v>
      </c>
      <c r="I418" s="4">
        <v>20.2</v>
      </c>
      <c r="J418" s="1">
        <v>5.7</v>
      </c>
      <c r="K418" s="7">
        <v>453.026797016004</v>
      </c>
      <c r="L418" s="8">
        <v>72.06330211111</v>
      </c>
      <c r="M418" s="9">
        <v>0.811435864029319</v>
      </c>
      <c r="O418" s="1">
        <v>60</v>
      </c>
      <c r="P418" s="1">
        <v>9</v>
      </c>
      <c r="Q418" s="1">
        <v>0.126</v>
      </c>
      <c r="R418" s="1">
        <v>1</v>
      </c>
      <c r="S418" s="2">
        <v>0</v>
      </c>
      <c r="T418" s="1">
        <v>20</v>
      </c>
      <c r="U418" s="17">
        <v>0.868253123396246</v>
      </c>
      <c r="V418" s="4">
        <v>20.2</v>
      </c>
      <c r="W418" s="1">
        <v>5.7</v>
      </c>
      <c r="X418" s="8">
        <v>453.026797016004</v>
      </c>
      <c r="Y418" s="18">
        <v>72.06330211111</v>
      </c>
      <c r="Z418" s="3">
        <v>0.811435864029319</v>
      </c>
    </row>
    <row r="419" spans="2:26">
      <c r="B419" s="1">
        <v>60</v>
      </c>
      <c r="C419" s="1">
        <v>9.8</v>
      </c>
      <c r="D419" s="1">
        <v>0.126</v>
      </c>
      <c r="E419" s="1">
        <v>1</v>
      </c>
      <c r="F419" s="2">
        <v>0</v>
      </c>
      <c r="G419" s="1">
        <v>20</v>
      </c>
      <c r="H419" s="3">
        <v>0.868253123396246</v>
      </c>
      <c r="I419" s="4">
        <v>20.2</v>
      </c>
      <c r="J419" s="1">
        <v>6</v>
      </c>
      <c r="K419" s="7">
        <v>485.358411095644</v>
      </c>
      <c r="L419" s="8">
        <v>76.8619257868295</v>
      </c>
      <c r="M419" s="9">
        <v>0.784429573041905</v>
      </c>
      <c r="O419" s="1">
        <v>60</v>
      </c>
      <c r="P419" s="1">
        <v>9.8</v>
      </c>
      <c r="Q419" s="1">
        <v>0.126</v>
      </c>
      <c r="R419" s="1">
        <v>1</v>
      </c>
      <c r="S419" s="2">
        <v>0</v>
      </c>
      <c r="T419" s="1">
        <v>20</v>
      </c>
      <c r="U419" s="17">
        <v>0.868253123396246</v>
      </c>
      <c r="V419" s="4">
        <v>20.2</v>
      </c>
      <c r="W419" s="1">
        <v>6</v>
      </c>
      <c r="X419" s="8">
        <v>485.358411095644</v>
      </c>
      <c r="Y419" s="18">
        <v>76.8619257868295</v>
      </c>
      <c r="Z419" s="3">
        <v>0.784429573041905</v>
      </c>
    </row>
    <row r="420" spans="2:26">
      <c r="B420" s="1">
        <v>55</v>
      </c>
      <c r="C420" s="1">
        <v>5</v>
      </c>
      <c r="D420" s="1">
        <v>0.126</v>
      </c>
      <c r="E420" s="1">
        <v>1</v>
      </c>
      <c r="F420" s="2">
        <v>0</v>
      </c>
      <c r="G420" s="1">
        <v>20</v>
      </c>
      <c r="H420" s="3">
        <v>0.89760467536325</v>
      </c>
      <c r="I420" s="4">
        <v>20.1</v>
      </c>
      <c r="J420" s="1">
        <v>2.6</v>
      </c>
      <c r="K420" s="7">
        <v>201.641636522731</v>
      </c>
      <c r="L420" s="8">
        <v>36.0878818217501</v>
      </c>
      <c r="M420" s="9">
        <v>0.815036977939532</v>
      </c>
      <c r="O420" s="1">
        <v>55</v>
      </c>
      <c r="P420" s="1">
        <v>5</v>
      </c>
      <c r="Q420" s="1">
        <v>0.126</v>
      </c>
      <c r="R420" s="1">
        <v>1</v>
      </c>
      <c r="S420" s="2">
        <v>0</v>
      </c>
      <c r="T420" s="1">
        <v>20</v>
      </c>
      <c r="U420" s="17">
        <v>0.89760467536325</v>
      </c>
      <c r="V420" s="4">
        <v>20.1</v>
      </c>
      <c r="W420" s="1">
        <v>2.6</v>
      </c>
      <c r="X420" s="8">
        <v>201.641636522731</v>
      </c>
      <c r="Y420" s="18">
        <v>36.0878818217501</v>
      </c>
      <c r="Z420" s="3">
        <v>0.815036977939532</v>
      </c>
    </row>
    <row r="421" spans="2:26">
      <c r="B421" s="1">
        <v>55</v>
      </c>
      <c r="C421" s="1">
        <v>5.8</v>
      </c>
      <c r="D421" s="1">
        <v>0.126</v>
      </c>
      <c r="E421" s="1">
        <v>1</v>
      </c>
      <c r="F421" s="2">
        <v>0</v>
      </c>
      <c r="G421" s="1">
        <v>20</v>
      </c>
      <c r="H421" s="3">
        <v>0.89760467536325</v>
      </c>
      <c r="I421" s="4">
        <v>20.1</v>
      </c>
      <c r="J421" s="1">
        <v>3</v>
      </c>
      <c r="K421" s="7">
        <v>233.276188319407</v>
      </c>
      <c r="L421" s="8">
        <v>41.4982232501971</v>
      </c>
      <c r="M421" s="9">
        <v>0.810726217793586</v>
      </c>
      <c r="O421" s="1">
        <v>55</v>
      </c>
      <c r="P421" s="1">
        <v>5.8</v>
      </c>
      <c r="Q421" s="1">
        <v>0.126</v>
      </c>
      <c r="R421" s="1">
        <v>1</v>
      </c>
      <c r="S421" s="2">
        <v>0</v>
      </c>
      <c r="T421" s="1">
        <v>20</v>
      </c>
      <c r="U421" s="17">
        <v>0.89760467536325</v>
      </c>
      <c r="V421" s="4">
        <v>20.1</v>
      </c>
      <c r="W421" s="1">
        <v>3</v>
      </c>
      <c r="X421" s="8">
        <v>233.276188319407</v>
      </c>
      <c r="Y421" s="18">
        <v>41.4982232501971</v>
      </c>
      <c r="Z421" s="3">
        <v>0.810726217793586</v>
      </c>
    </row>
    <row r="422" spans="2:26">
      <c r="B422" s="1">
        <v>55</v>
      </c>
      <c r="C422" s="1">
        <v>6.6</v>
      </c>
      <c r="D422" s="1">
        <v>0.126</v>
      </c>
      <c r="E422" s="1">
        <v>1</v>
      </c>
      <c r="F422" s="2">
        <v>0</v>
      </c>
      <c r="G422" s="1">
        <v>20</v>
      </c>
      <c r="H422" s="3">
        <v>0.89760467536325</v>
      </c>
      <c r="I422" s="4">
        <v>20.1</v>
      </c>
      <c r="J422" s="1">
        <v>3.4</v>
      </c>
      <c r="K422" s="7">
        <v>264.906428120914</v>
      </c>
      <c r="L422" s="8">
        <v>46.9007293076981</v>
      </c>
      <c r="M422" s="9">
        <v>0.807463547057292</v>
      </c>
      <c r="O422" s="1">
        <v>55</v>
      </c>
      <c r="P422" s="1">
        <v>6.6</v>
      </c>
      <c r="Q422" s="1">
        <v>0.126</v>
      </c>
      <c r="R422" s="1">
        <v>1</v>
      </c>
      <c r="S422" s="2">
        <v>0</v>
      </c>
      <c r="T422" s="1">
        <v>20</v>
      </c>
      <c r="U422" s="17">
        <v>0.89760467536325</v>
      </c>
      <c r="V422" s="4">
        <v>20.1</v>
      </c>
      <c r="W422" s="1">
        <v>3.4</v>
      </c>
      <c r="X422" s="8">
        <v>264.906428120914</v>
      </c>
      <c r="Y422" s="18">
        <v>46.9007293076981</v>
      </c>
      <c r="Z422" s="3">
        <v>0.807463547057292</v>
      </c>
    </row>
    <row r="423" spans="2:26">
      <c r="B423" s="1">
        <v>55</v>
      </c>
      <c r="C423" s="1">
        <v>7.4</v>
      </c>
      <c r="D423" s="1">
        <v>0.126</v>
      </c>
      <c r="E423" s="1">
        <v>1</v>
      </c>
      <c r="F423" s="2">
        <v>0</v>
      </c>
      <c r="G423" s="1">
        <v>20</v>
      </c>
      <c r="H423" s="3">
        <v>0.89760467536325</v>
      </c>
      <c r="I423" s="4">
        <v>20.1</v>
      </c>
      <c r="J423" s="1">
        <v>3.8</v>
      </c>
      <c r="K423" s="7">
        <v>296.53235382369</v>
      </c>
      <c r="L423" s="8">
        <v>52.3072661859136</v>
      </c>
      <c r="M423" s="9">
        <v>0.804909044841033</v>
      </c>
      <c r="O423" s="1">
        <v>55</v>
      </c>
      <c r="P423" s="1">
        <v>7.4</v>
      </c>
      <c r="Q423" s="1">
        <v>0.126</v>
      </c>
      <c r="R423" s="1">
        <v>1</v>
      </c>
      <c r="S423" s="2">
        <v>0</v>
      </c>
      <c r="T423" s="1">
        <v>20</v>
      </c>
      <c r="U423" s="17">
        <v>0.89760467536325</v>
      </c>
      <c r="V423" s="4">
        <v>20.1</v>
      </c>
      <c r="W423" s="1">
        <v>3.8</v>
      </c>
      <c r="X423" s="8">
        <v>296.53235382369</v>
      </c>
      <c r="Y423" s="18">
        <v>52.3072661859136</v>
      </c>
      <c r="Z423" s="3">
        <v>0.804909044841033</v>
      </c>
    </row>
    <row r="424" spans="2:26">
      <c r="B424" s="1">
        <v>55</v>
      </c>
      <c r="C424" s="1">
        <v>8.2</v>
      </c>
      <c r="D424" s="1">
        <v>0.126</v>
      </c>
      <c r="E424" s="1">
        <v>1</v>
      </c>
      <c r="F424" s="2">
        <v>0</v>
      </c>
      <c r="G424" s="1">
        <v>20</v>
      </c>
      <c r="H424" s="3">
        <v>0.89760467536325</v>
      </c>
      <c r="I424" s="4">
        <v>20.1</v>
      </c>
      <c r="J424" s="1">
        <v>4</v>
      </c>
      <c r="K424" s="7">
        <v>320.497713322679</v>
      </c>
      <c r="L424" s="8">
        <v>56.0829462481737</v>
      </c>
      <c r="M424" s="9">
        <v>0.76462423077112</v>
      </c>
      <c r="O424" s="1">
        <v>55</v>
      </c>
      <c r="P424" s="1">
        <v>8.2</v>
      </c>
      <c r="Q424" s="1">
        <v>0.126</v>
      </c>
      <c r="R424" s="1">
        <v>1</v>
      </c>
      <c r="S424" s="2">
        <v>0</v>
      </c>
      <c r="T424" s="1">
        <v>20</v>
      </c>
      <c r="U424" s="17">
        <v>0.89760467536325</v>
      </c>
      <c r="V424" s="4">
        <v>20.1</v>
      </c>
      <c r="W424" s="1">
        <v>4</v>
      </c>
      <c r="X424" s="8">
        <v>320.497713322679</v>
      </c>
      <c r="Y424" s="18">
        <v>56.0829462481737</v>
      </c>
      <c r="Z424" s="3">
        <v>0.76462423077112</v>
      </c>
    </row>
    <row r="425" spans="2:26">
      <c r="B425" s="1">
        <v>55</v>
      </c>
      <c r="C425" s="1">
        <v>9</v>
      </c>
      <c r="D425" s="1">
        <v>0.126</v>
      </c>
      <c r="E425" s="1">
        <v>1</v>
      </c>
      <c r="F425" s="2">
        <v>0</v>
      </c>
      <c r="G425" s="1">
        <v>20</v>
      </c>
      <c r="H425" s="3">
        <v>0.89760467536325</v>
      </c>
      <c r="I425" s="4">
        <v>20.2</v>
      </c>
      <c r="J425" s="1">
        <v>4.2</v>
      </c>
      <c r="K425" s="7">
        <v>344.458754511332</v>
      </c>
      <c r="L425" s="8">
        <v>59.8406860793473</v>
      </c>
      <c r="M425" s="9">
        <v>0.731502282195313</v>
      </c>
      <c r="O425" s="1">
        <v>55</v>
      </c>
      <c r="P425" s="1">
        <v>9</v>
      </c>
      <c r="Q425" s="1">
        <v>0.126</v>
      </c>
      <c r="R425" s="1">
        <v>1</v>
      </c>
      <c r="S425" s="2">
        <v>0</v>
      </c>
      <c r="T425" s="1">
        <v>20</v>
      </c>
      <c r="U425" s="17">
        <v>0.89760467536325</v>
      </c>
      <c r="V425" s="4">
        <v>20.2</v>
      </c>
      <c r="W425" s="1">
        <v>4.2</v>
      </c>
      <c r="X425" s="8">
        <v>344.458754511332</v>
      </c>
      <c r="Y425" s="18">
        <v>59.8406860793473</v>
      </c>
      <c r="Z425" s="3">
        <v>0.731502282195313</v>
      </c>
    </row>
    <row r="426" spans="2:26">
      <c r="B426" s="1">
        <v>55</v>
      </c>
      <c r="C426" s="1">
        <v>9.8</v>
      </c>
      <c r="D426" s="1">
        <v>0.126</v>
      </c>
      <c r="E426" s="1">
        <v>1</v>
      </c>
      <c r="F426" s="2">
        <v>0</v>
      </c>
      <c r="G426" s="1">
        <v>20</v>
      </c>
      <c r="H426" s="3">
        <v>0.89760467536325</v>
      </c>
      <c r="I426" s="4">
        <v>20.2</v>
      </c>
      <c r="J426" s="1">
        <v>4.6</v>
      </c>
      <c r="K426" s="7">
        <v>376.071725281607</v>
      </c>
      <c r="L426" s="8">
        <v>65.2532207477353</v>
      </c>
      <c r="M426" s="9">
        <v>0.735779438334571</v>
      </c>
      <c r="O426" s="1">
        <v>55</v>
      </c>
      <c r="P426" s="1">
        <v>9.8</v>
      </c>
      <c r="Q426" s="1">
        <v>0.126</v>
      </c>
      <c r="R426" s="1">
        <v>1</v>
      </c>
      <c r="S426" s="2">
        <v>0</v>
      </c>
      <c r="T426" s="1">
        <v>20</v>
      </c>
      <c r="U426" s="17">
        <v>0.89760467536325</v>
      </c>
      <c r="V426" s="4">
        <v>20.2</v>
      </c>
      <c r="W426" s="1">
        <v>4.6</v>
      </c>
      <c r="X426" s="8">
        <v>376.071725281607</v>
      </c>
      <c r="Y426" s="18">
        <v>65.2532207477353</v>
      </c>
      <c r="Z426" s="3">
        <v>0.735779438334571</v>
      </c>
    </row>
    <row r="427" spans="2:26">
      <c r="B427" s="1">
        <v>50</v>
      </c>
      <c r="C427" s="1">
        <v>5</v>
      </c>
      <c r="D427" s="1">
        <v>0.126</v>
      </c>
      <c r="E427" s="1">
        <v>1</v>
      </c>
      <c r="F427" s="2">
        <v>0</v>
      </c>
      <c r="G427" s="1">
        <v>20</v>
      </c>
      <c r="H427" s="3">
        <v>0.920818198615511</v>
      </c>
      <c r="I427" s="4">
        <v>20.1</v>
      </c>
      <c r="J427" s="1">
        <v>1.9</v>
      </c>
      <c r="K427" s="7">
        <v>151.091353172489</v>
      </c>
      <c r="L427" s="8">
        <v>30.4252370234305</v>
      </c>
      <c r="M427" s="9">
        <v>0.73226680199181</v>
      </c>
      <c r="O427" s="1">
        <v>50</v>
      </c>
      <c r="P427" s="1">
        <v>5</v>
      </c>
      <c r="Q427" s="1">
        <v>0.126</v>
      </c>
      <c r="R427" s="1">
        <v>1</v>
      </c>
      <c r="S427" s="2">
        <v>0</v>
      </c>
      <c r="T427" s="1">
        <v>20</v>
      </c>
      <c r="U427" s="17">
        <v>0.920818198615511</v>
      </c>
      <c r="V427" s="4">
        <v>20.1</v>
      </c>
      <c r="W427" s="1">
        <v>1.9</v>
      </c>
      <c r="X427" s="8">
        <v>151.091353172489</v>
      </c>
      <c r="Y427" s="18">
        <v>30.4252370234305</v>
      </c>
      <c r="Z427" s="3">
        <v>0.73226680199181</v>
      </c>
    </row>
    <row r="428" spans="2:26">
      <c r="B428" s="1">
        <v>50</v>
      </c>
      <c r="C428" s="1">
        <v>5.8</v>
      </c>
      <c r="D428" s="1">
        <v>0.126</v>
      </c>
      <c r="E428" s="1">
        <v>1</v>
      </c>
      <c r="F428" s="2">
        <v>0</v>
      </c>
      <c r="G428" s="1">
        <v>20</v>
      </c>
      <c r="H428" s="3">
        <v>0.920818198615511</v>
      </c>
      <c r="I428" s="4">
        <v>20.1</v>
      </c>
      <c r="J428" s="1">
        <v>2.2</v>
      </c>
      <c r="K428" s="7">
        <v>175.097006890484</v>
      </c>
      <c r="L428" s="8">
        <v>34.9834267140121</v>
      </c>
      <c r="M428" s="9">
        <v>0.730949679455221</v>
      </c>
      <c r="O428" s="1">
        <v>50</v>
      </c>
      <c r="P428" s="1">
        <v>5.8</v>
      </c>
      <c r="Q428" s="1">
        <v>0.126</v>
      </c>
      <c r="R428" s="1">
        <v>1</v>
      </c>
      <c r="S428" s="2">
        <v>0</v>
      </c>
      <c r="T428" s="1">
        <v>20</v>
      </c>
      <c r="U428" s="17">
        <v>0.920818198615511</v>
      </c>
      <c r="V428" s="4">
        <v>20.1</v>
      </c>
      <c r="W428" s="1">
        <v>2.2</v>
      </c>
      <c r="X428" s="8">
        <v>175.097006890484</v>
      </c>
      <c r="Y428" s="18">
        <v>34.9834267140121</v>
      </c>
      <c r="Z428" s="3">
        <v>0.730949679455221</v>
      </c>
    </row>
    <row r="429" spans="2:26">
      <c r="B429" s="1">
        <v>50</v>
      </c>
      <c r="C429" s="1">
        <v>6.6</v>
      </c>
      <c r="D429" s="1">
        <v>0.126</v>
      </c>
      <c r="E429" s="1">
        <v>1</v>
      </c>
      <c r="F429" s="2">
        <v>0</v>
      </c>
      <c r="G429" s="1">
        <v>20</v>
      </c>
      <c r="H429" s="3">
        <v>0.920818198615511</v>
      </c>
      <c r="I429" s="4">
        <v>20.1</v>
      </c>
      <c r="J429" s="1">
        <v>2.6</v>
      </c>
      <c r="K429" s="7">
        <v>202.926410495509</v>
      </c>
      <c r="L429" s="8">
        <v>40.3978768036889</v>
      </c>
      <c r="M429" s="9">
        <v>0.75915288873917</v>
      </c>
      <c r="O429" s="1">
        <v>50</v>
      </c>
      <c r="P429" s="1">
        <v>6.6</v>
      </c>
      <c r="Q429" s="1">
        <v>0.126</v>
      </c>
      <c r="R429" s="1">
        <v>1</v>
      </c>
      <c r="S429" s="2">
        <v>0</v>
      </c>
      <c r="T429" s="1">
        <v>20</v>
      </c>
      <c r="U429" s="17">
        <v>0.920818198615511</v>
      </c>
      <c r="V429" s="4">
        <v>20.1</v>
      </c>
      <c r="W429" s="1">
        <v>2.6</v>
      </c>
      <c r="X429" s="8">
        <v>202.926410495509</v>
      </c>
      <c r="Y429" s="18">
        <v>40.3978768036889</v>
      </c>
      <c r="Z429" s="3">
        <v>0.75915288873917</v>
      </c>
    </row>
    <row r="430" spans="2:26">
      <c r="B430" s="1">
        <v>50</v>
      </c>
      <c r="C430" s="1">
        <v>7.4</v>
      </c>
      <c r="D430" s="1">
        <v>0.126</v>
      </c>
      <c r="E430" s="1">
        <v>1</v>
      </c>
      <c r="F430" s="2">
        <v>0</v>
      </c>
      <c r="G430" s="1">
        <v>20</v>
      </c>
      <c r="H430" s="3">
        <v>0.920818198615511</v>
      </c>
      <c r="I430" s="4">
        <v>20.1</v>
      </c>
      <c r="J430" s="1">
        <v>2.7</v>
      </c>
      <c r="K430" s="7">
        <v>219.267061777567</v>
      </c>
      <c r="L430" s="8">
        <v>43.152173620505</v>
      </c>
      <c r="M430" s="9">
        <v>0.703135337165991</v>
      </c>
      <c r="O430" s="1">
        <v>50</v>
      </c>
      <c r="P430" s="1">
        <v>7.4</v>
      </c>
      <c r="Q430" s="1">
        <v>0.126</v>
      </c>
      <c r="R430" s="1">
        <v>1</v>
      </c>
      <c r="S430" s="2">
        <v>0</v>
      </c>
      <c r="T430" s="1">
        <v>20</v>
      </c>
      <c r="U430" s="17">
        <v>0.920818198615511</v>
      </c>
      <c r="V430" s="4">
        <v>20.1</v>
      </c>
      <c r="W430" s="1">
        <v>2.7</v>
      </c>
      <c r="X430" s="8">
        <v>219.267061777567</v>
      </c>
      <c r="Y430" s="18">
        <v>43.152173620505</v>
      </c>
      <c r="Z430" s="3">
        <v>0.703135337165991</v>
      </c>
    </row>
    <row r="431" spans="2:26">
      <c r="B431" s="1">
        <v>50</v>
      </c>
      <c r="C431" s="1">
        <v>8.2</v>
      </c>
      <c r="D431" s="1">
        <v>0.126</v>
      </c>
      <c r="E431" s="1">
        <v>1</v>
      </c>
      <c r="F431" s="2">
        <v>0</v>
      </c>
      <c r="G431" s="1">
        <v>20</v>
      </c>
      <c r="H431" s="3">
        <v>0.920818198615511</v>
      </c>
      <c r="I431" s="4">
        <v>20.1</v>
      </c>
      <c r="J431" s="1">
        <v>3.1</v>
      </c>
      <c r="K431" s="7">
        <v>247.087708525098</v>
      </c>
      <c r="L431" s="8">
        <v>48.5518034647256</v>
      </c>
      <c r="M431" s="9">
        <v>0.728554030646367</v>
      </c>
      <c r="O431" s="1">
        <v>50</v>
      </c>
      <c r="P431" s="1">
        <v>8.2</v>
      </c>
      <c r="Q431" s="1">
        <v>0.126</v>
      </c>
      <c r="R431" s="1">
        <v>1</v>
      </c>
      <c r="S431" s="2">
        <v>0</v>
      </c>
      <c r="T431" s="1">
        <v>20</v>
      </c>
      <c r="U431" s="17">
        <v>0.920818198615511</v>
      </c>
      <c r="V431" s="4">
        <v>20.1</v>
      </c>
      <c r="W431" s="1">
        <v>3.1</v>
      </c>
      <c r="X431" s="8">
        <v>247.087708525098</v>
      </c>
      <c r="Y431" s="18">
        <v>48.5518034647256</v>
      </c>
      <c r="Z431" s="3">
        <v>0.728554030646367</v>
      </c>
    </row>
    <row r="432" spans="2:26">
      <c r="B432" s="1">
        <v>50</v>
      </c>
      <c r="C432" s="1">
        <v>9</v>
      </c>
      <c r="D432" s="1">
        <v>0.126</v>
      </c>
      <c r="E432" s="1">
        <v>1</v>
      </c>
      <c r="F432" s="2">
        <v>0</v>
      </c>
      <c r="G432" s="1">
        <v>20</v>
      </c>
      <c r="H432" s="3">
        <v>0.920818198615511</v>
      </c>
      <c r="I432" s="4">
        <v>20.2</v>
      </c>
      <c r="J432" s="1">
        <v>3.4</v>
      </c>
      <c r="K432" s="7">
        <v>271.075848524979</v>
      </c>
      <c r="L432" s="8">
        <v>53.0676446658373</v>
      </c>
      <c r="M432" s="9">
        <v>0.728043577117658</v>
      </c>
      <c r="O432" s="1">
        <v>50</v>
      </c>
      <c r="P432" s="1">
        <v>9</v>
      </c>
      <c r="Q432" s="1">
        <v>0.126</v>
      </c>
      <c r="R432" s="1">
        <v>1</v>
      </c>
      <c r="S432" s="2">
        <v>0</v>
      </c>
      <c r="T432" s="1">
        <v>20</v>
      </c>
      <c r="U432" s="17">
        <v>0.920818198615511</v>
      </c>
      <c r="V432" s="4">
        <v>20.2</v>
      </c>
      <c r="W432" s="1">
        <v>3.4</v>
      </c>
      <c r="X432" s="8">
        <v>271.075848524979</v>
      </c>
      <c r="Y432" s="18">
        <v>53.0676446658373</v>
      </c>
      <c r="Z432" s="3">
        <v>0.728043577117658</v>
      </c>
    </row>
    <row r="433" spans="2:26">
      <c r="B433" s="1">
        <v>50</v>
      </c>
      <c r="C433" s="1">
        <v>9.8</v>
      </c>
      <c r="D433" s="1">
        <v>0.126</v>
      </c>
      <c r="E433" s="1">
        <v>1</v>
      </c>
      <c r="F433" s="2">
        <v>0</v>
      </c>
      <c r="G433" s="1">
        <v>20</v>
      </c>
      <c r="H433" s="3">
        <v>0.920818198615511</v>
      </c>
      <c r="I433" s="4">
        <v>20.2</v>
      </c>
      <c r="J433" s="1">
        <v>3.8</v>
      </c>
      <c r="K433" s="7">
        <v>298.887729562523</v>
      </c>
      <c r="L433" s="8">
        <v>58.5188759032144</v>
      </c>
      <c r="M433" s="9">
        <v>0.747283738036147</v>
      </c>
      <c r="O433" s="1">
        <v>50</v>
      </c>
      <c r="P433" s="1">
        <v>9.8</v>
      </c>
      <c r="Q433" s="1">
        <v>0.126</v>
      </c>
      <c r="R433" s="1">
        <v>1</v>
      </c>
      <c r="S433" s="2">
        <v>0</v>
      </c>
      <c r="T433" s="1">
        <v>20</v>
      </c>
      <c r="U433" s="17">
        <v>0.920818198615511</v>
      </c>
      <c r="V433" s="4">
        <v>20.2</v>
      </c>
      <c r="W433" s="1">
        <v>3.8</v>
      </c>
      <c r="X433" s="8">
        <v>298.887729562523</v>
      </c>
      <c r="Y433" s="18">
        <v>58.5188759032144</v>
      </c>
      <c r="Z433" s="3">
        <v>0.747283738036147</v>
      </c>
    </row>
    <row r="434" spans="2:26">
      <c r="B434" s="1">
        <v>65</v>
      </c>
      <c r="C434" s="1">
        <v>5</v>
      </c>
      <c r="D434" s="1">
        <v>0.174</v>
      </c>
      <c r="E434" s="1">
        <v>1</v>
      </c>
      <c r="F434" s="2">
        <v>0</v>
      </c>
      <c r="G434" s="1">
        <v>20</v>
      </c>
      <c r="H434" s="3">
        <v>0.831152647810126</v>
      </c>
      <c r="I434" s="4">
        <v>20.1</v>
      </c>
      <c r="J434" s="1">
        <v>3</v>
      </c>
      <c r="K434" s="7">
        <v>322.967615451363</v>
      </c>
      <c r="L434" s="8">
        <v>46.5586315231533</v>
      </c>
      <c r="M434" s="9">
        <v>0.871682931678601</v>
      </c>
      <c r="O434" s="1">
        <v>65</v>
      </c>
      <c r="P434" s="1">
        <v>5</v>
      </c>
      <c r="Q434" s="1">
        <v>0.174</v>
      </c>
      <c r="R434" s="1">
        <v>1</v>
      </c>
      <c r="S434" s="2">
        <v>0</v>
      </c>
      <c r="T434" s="1">
        <v>20</v>
      </c>
      <c r="U434" s="17">
        <v>0.831152647810126</v>
      </c>
      <c r="V434" s="4">
        <v>20.1</v>
      </c>
      <c r="W434" s="1">
        <v>3</v>
      </c>
      <c r="X434" s="8">
        <v>322.967615451363</v>
      </c>
      <c r="Y434" s="18">
        <v>46.5586315231533</v>
      </c>
      <c r="Z434" s="3">
        <v>0.871682931678601</v>
      </c>
    </row>
    <row r="435" spans="2:26">
      <c r="B435" s="1">
        <v>65</v>
      </c>
      <c r="C435" s="1">
        <v>5.8</v>
      </c>
      <c r="D435" s="1">
        <v>0.174</v>
      </c>
      <c r="E435" s="1">
        <v>1</v>
      </c>
      <c r="F435" s="2">
        <v>0</v>
      </c>
      <c r="G435" s="1">
        <v>20</v>
      </c>
      <c r="H435" s="3">
        <v>0.831152647810126</v>
      </c>
      <c r="I435" s="4">
        <v>20.1</v>
      </c>
      <c r="J435" s="1">
        <v>3.8</v>
      </c>
      <c r="K435" s="7">
        <v>391.544050022463</v>
      </c>
      <c r="L435" s="8">
        <v>56.4657516104934</v>
      </c>
      <c r="M435" s="9">
        <v>0.951852755516611</v>
      </c>
      <c r="O435" s="1">
        <v>65</v>
      </c>
      <c r="P435" s="1">
        <v>5.8</v>
      </c>
      <c r="Q435" s="1">
        <v>0.174</v>
      </c>
      <c r="R435" s="1">
        <v>1</v>
      </c>
      <c r="S435" s="2">
        <v>0</v>
      </c>
      <c r="T435" s="1">
        <v>20</v>
      </c>
      <c r="U435" s="17">
        <v>0.831152647810126</v>
      </c>
      <c r="V435" s="4">
        <v>20.1</v>
      </c>
      <c r="W435" s="1">
        <v>3.8</v>
      </c>
      <c r="X435" s="8">
        <v>391.544050022463</v>
      </c>
      <c r="Y435" s="18">
        <v>56.4657516104934</v>
      </c>
      <c r="Z435" s="3">
        <v>0.951852755516611</v>
      </c>
    </row>
    <row r="436" spans="2:26">
      <c r="B436" s="1">
        <v>65</v>
      </c>
      <c r="C436" s="1">
        <v>6.6</v>
      </c>
      <c r="D436" s="1">
        <v>0.174</v>
      </c>
      <c r="E436" s="1">
        <v>1</v>
      </c>
      <c r="F436" s="2">
        <v>0</v>
      </c>
      <c r="G436" s="1">
        <v>20</v>
      </c>
      <c r="H436" s="3">
        <v>0.831152647810126</v>
      </c>
      <c r="I436" s="4">
        <v>20.1</v>
      </c>
      <c r="J436" s="1">
        <v>4.1</v>
      </c>
      <c r="K436" s="7">
        <v>433.68403601637</v>
      </c>
      <c r="L436" s="8">
        <v>62.0152602187902</v>
      </c>
      <c r="M436" s="9">
        <v>0.902528585584091</v>
      </c>
      <c r="O436" s="1">
        <v>65</v>
      </c>
      <c r="P436" s="1">
        <v>6.6</v>
      </c>
      <c r="Q436" s="1">
        <v>0.174</v>
      </c>
      <c r="R436" s="1">
        <v>1</v>
      </c>
      <c r="S436" s="2">
        <v>0</v>
      </c>
      <c r="T436" s="1">
        <v>20</v>
      </c>
      <c r="U436" s="17">
        <v>0.831152647810126</v>
      </c>
      <c r="V436" s="4">
        <v>20.1</v>
      </c>
      <c r="W436" s="1">
        <v>4.1</v>
      </c>
      <c r="X436" s="8">
        <v>433.68403601637</v>
      </c>
      <c r="Y436" s="18">
        <v>62.0152602187902</v>
      </c>
      <c r="Z436" s="3">
        <v>0.902528585584091</v>
      </c>
    </row>
    <row r="437" spans="2:26">
      <c r="B437" s="1">
        <v>65</v>
      </c>
      <c r="C437" s="1">
        <v>7.4</v>
      </c>
      <c r="D437" s="1">
        <v>0.174</v>
      </c>
      <c r="E437" s="1">
        <v>1</v>
      </c>
      <c r="F437" s="2">
        <v>0</v>
      </c>
      <c r="G437" s="1">
        <v>20</v>
      </c>
      <c r="H437" s="3">
        <v>0.831152647810126</v>
      </c>
      <c r="I437" s="4">
        <v>20.1</v>
      </c>
      <c r="J437" s="1">
        <v>4.5</v>
      </c>
      <c r="K437" s="7">
        <v>481.10632160105</v>
      </c>
      <c r="L437" s="8">
        <v>68.4241495161315</v>
      </c>
      <c r="M437" s="9">
        <v>0.88350439727135</v>
      </c>
      <c r="O437" s="1">
        <v>65</v>
      </c>
      <c r="P437" s="1">
        <v>7.4</v>
      </c>
      <c r="Q437" s="1">
        <v>0.174</v>
      </c>
      <c r="R437" s="1">
        <v>1</v>
      </c>
      <c r="S437" s="2">
        <v>0</v>
      </c>
      <c r="T437" s="1">
        <v>20</v>
      </c>
      <c r="U437" s="17">
        <v>0.831152647810126</v>
      </c>
      <c r="V437" s="4">
        <v>20.1</v>
      </c>
      <c r="W437" s="1">
        <v>4.5</v>
      </c>
      <c r="X437" s="8">
        <v>481.10632160105</v>
      </c>
      <c r="Y437" s="18">
        <v>68.4241495161315</v>
      </c>
      <c r="Z437" s="3">
        <v>0.88350439727135</v>
      </c>
    </row>
    <row r="438" spans="2:26">
      <c r="B438" s="1">
        <v>65</v>
      </c>
      <c r="C438" s="1">
        <v>8.2</v>
      </c>
      <c r="D438" s="1">
        <v>0.174</v>
      </c>
      <c r="E438" s="1">
        <v>1</v>
      </c>
      <c r="F438" s="2">
        <v>0</v>
      </c>
      <c r="G438" s="1">
        <v>20</v>
      </c>
      <c r="H438" s="3">
        <v>0.831152647810126</v>
      </c>
      <c r="I438" s="4">
        <v>20.1</v>
      </c>
      <c r="J438" s="1">
        <v>4.9</v>
      </c>
      <c r="K438" s="7">
        <v>528.524446609822</v>
      </c>
      <c r="L438" s="8">
        <v>74.8278614541548</v>
      </c>
      <c r="M438" s="9">
        <v>0.868194489982366</v>
      </c>
      <c r="O438" s="1">
        <v>65</v>
      </c>
      <c r="P438" s="1">
        <v>8.2</v>
      </c>
      <c r="Q438" s="1">
        <v>0.174</v>
      </c>
      <c r="R438" s="1">
        <v>1</v>
      </c>
      <c r="S438" s="2">
        <v>0</v>
      </c>
      <c r="T438" s="1">
        <v>20</v>
      </c>
      <c r="U438" s="17">
        <v>0.831152647810126</v>
      </c>
      <c r="V438" s="4">
        <v>20.1</v>
      </c>
      <c r="W438" s="1">
        <v>4.9</v>
      </c>
      <c r="X438" s="8">
        <v>528.524446609822</v>
      </c>
      <c r="Y438" s="18">
        <v>74.8278614541548</v>
      </c>
      <c r="Z438" s="3">
        <v>0.868194489982366</v>
      </c>
    </row>
    <row r="439" spans="2:26">
      <c r="B439" s="1">
        <v>65</v>
      </c>
      <c r="C439" s="1">
        <v>9</v>
      </c>
      <c r="D439" s="1">
        <v>0.174</v>
      </c>
      <c r="E439" s="1">
        <v>1</v>
      </c>
      <c r="F439" s="2">
        <v>0</v>
      </c>
      <c r="G439" s="1">
        <v>20</v>
      </c>
      <c r="H439" s="3">
        <v>0.831152647810126</v>
      </c>
      <c r="I439" s="4">
        <v>20.2</v>
      </c>
      <c r="J439" s="1">
        <v>5.2</v>
      </c>
      <c r="K439" s="7">
        <v>570.651950874689</v>
      </c>
      <c r="L439" s="8">
        <v>80.3228514673323</v>
      </c>
      <c r="M439" s="9">
        <v>0.839464834272237</v>
      </c>
      <c r="O439" s="1">
        <v>65</v>
      </c>
      <c r="P439" s="1">
        <v>9</v>
      </c>
      <c r="Q439" s="1">
        <v>0.174</v>
      </c>
      <c r="R439" s="1">
        <v>1</v>
      </c>
      <c r="S439" s="2">
        <v>0</v>
      </c>
      <c r="T439" s="1">
        <v>20</v>
      </c>
      <c r="U439" s="17">
        <v>0.831152647810126</v>
      </c>
      <c r="V439" s="4">
        <v>20.2</v>
      </c>
      <c r="W439" s="1">
        <v>5.2</v>
      </c>
      <c r="X439" s="8">
        <v>570.651950874689</v>
      </c>
      <c r="Y439" s="18">
        <v>80.3228514673323</v>
      </c>
      <c r="Z439" s="3">
        <v>0.839464834272237</v>
      </c>
    </row>
    <row r="440" spans="2:26">
      <c r="B440" s="1">
        <v>65</v>
      </c>
      <c r="C440" s="1">
        <v>9.8</v>
      </c>
      <c r="D440" s="1">
        <v>0.174</v>
      </c>
      <c r="E440" s="1">
        <v>1</v>
      </c>
      <c r="F440" s="2">
        <v>0</v>
      </c>
      <c r="G440" s="1">
        <v>20</v>
      </c>
      <c r="H440" s="3">
        <v>0.831152647810126</v>
      </c>
      <c r="I440" s="4">
        <v>20.2</v>
      </c>
      <c r="J440" s="1">
        <v>5.5</v>
      </c>
      <c r="K440" s="7">
        <v>612.775290893008</v>
      </c>
      <c r="L440" s="8">
        <v>85.8085117735517</v>
      </c>
      <c r="M440" s="9">
        <v>0.815427142996498</v>
      </c>
      <c r="O440" s="1">
        <v>65</v>
      </c>
      <c r="P440" s="1">
        <v>9.8</v>
      </c>
      <c r="Q440" s="1">
        <v>0.174</v>
      </c>
      <c r="R440" s="1">
        <v>1</v>
      </c>
      <c r="S440" s="2">
        <v>0</v>
      </c>
      <c r="T440" s="1">
        <v>20</v>
      </c>
      <c r="U440" s="17">
        <v>0.831152647810126</v>
      </c>
      <c r="V440" s="4">
        <v>20.2</v>
      </c>
      <c r="W440" s="1">
        <v>5.5</v>
      </c>
      <c r="X440" s="8">
        <v>612.775290893008</v>
      </c>
      <c r="Y440" s="18">
        <v>85.8085117735517</v>
      </c>
      <c r="Z440" s="3">
        <v>0.815427142996498</v>
      </c>
    </row>
    <row r="441" spans="2:26">
      <c r="B441" s="1">
        <v>60</v>
      </c>
      <c r="C441" s="1">
        <v>5</v>
      </c>
      <c r="D441" s="1">
        <v>0.174</v>
      </c>
      <c r="E441" s="1">
        <v>1</v>
      </c>
      <c r="F441" s="2">
        <v>0</v>
      </c>
      <c r="G441" s="1">
        <v>20</v>
      </c>
      <c r="H441" s="3">
        <v>0.868253123396246</v>
      </c>
      <c r="I441" s="4">
        <v>20.1</v>
      </c>
      <c r="J441" s="1">
        <v>2.4</v>
      </c>
      <c r="K441" s="7">
        <v>257.398799590211</v>
      </c>
      <c r="L441" s="8">
        <v>40.7005100685788</v>
      </c>
      <c r="M441" s="9">
        <v>0.849194429842587</v>
      </c>
      <c r="O441" s="1">
        <v>60</v>
      </c>
      <c r="P441" s="1">
        <v>5</v>
      </c>
      <c r="Q441" s="1">
        <v>0.174</v>
      </c>
      <c r="R441" s="1">
        <v>1</v>
      </c>
      <c r="S441" s="2">
        <v>0</v>
      </c>
      <c r="T441" s="1">
        <v>20</v>
      </c>
      <c r="U441" s="17">
        <v>0.868253123396246</v>
      </c>
      <c r="V441" s="4">
        <v>20.1</v>
      </c>
      <c r="W441" s="1">
        <v>2.4</v>
      </c>
      <c r="X441" s="8">
        <v>257.398799590211</v>
      </c>
      <c r="Y441" s="18">
        <v>40.7005100685788</v>
      </c>
      <c r="Z441" s="3">
        <v>0.849194429842587</v>
      </c>
    </row>
    <row r="442" spans="2:26">
      <c r="B442" s="1">
        <v>60</v>
      </c>
      <c r="C442" s="1">
        <v>5.8</v>
      </c>
      <c r="D442" s="1">
        <v>0.174</v>
      </c>
      <c r="E442" s="1">
        <v>1</v>
      </c>
      <c r="F442" s="2">
        <v>0</v>
      </c>
      <c r="G442" s="1">
        <v>20</v>
      </c>
      <c r="H442" s="3">
        <v>0.868253123396246</v>
      </c>
      <c r="I442" s="4">
        <v>20.1</v>
      </c>
      <c r="J442" s="1">
        <v>2.8</v>
      </c>
      <c r="K442" s="7">
        <v>299.413091076637</v>
      </c>
      <c r="L442" s="8">
        <v>47.0115176359167</v>
      </c>
      <c r="M442" s="9">
        <v>0.854088489033783</v>
      </c>
      <c r="O442" s="1">
        <v>60</v>
      </c>
      <c r="P442" s="1">
        <v>5.8</v>
      </c>
      <c r="Q442" s="1">
        <v>0.174</v>
      </c>
      <c r="R442" s="1">
        <v>1</v>
      </c>
      <c r="S442" s="2">
        <v>0</v>
      </c>
      <c r="T442" s="1">
        <v>20</v>
      </c>
      <c r="U442" s="17">
        <v>0.868253123396246</v>
      </c>
      <c r="V442" s="4">
        <v>20.1</v>
      </c>
      <c r="W442" s="1">
        <v>2.8</v>
      </c>
      <c r="X442" s="8">
        <v>299.413091076637</v>
      </c>
      <c r="Y442" s="18">
        <v>47.0115176359167</v>
      </c>
      <c r="Z442" s="3">
        <v>0.854088489033783</v>
      </c>
    </row>
    <row r="443" spans="2:26">
      <c r="B443" s="1">
        <v>60</v>
      </c>
      <c r="C443" s="1">
        <v>6.6</v>
      </c>
      <c r="D443" s="1">
        <v>0.174</v>
      </c>
      <c r="E443" s="1">
        <v>1</v>
      </c>
      <c r="F443" s="2">
        <v>0</v>
      </c>
      <c r="G443" s="1">
        <v>20</v>
      </c>
      <c r="H443" s="3">
        <v>0.868253123396246</v>
      </c>
      <c r="I443" s="4">
        <v>20.1</v>
      </c>
      <c r="J443" s="1">
        <v>3.4</v>
      </c>
      <c r="K443" s="7">
        <v>351.996059375075</v>
      </c>
      <c r="L443" s="8">
        <v>55.1953729101602</v>
      </c>
      <c r="M443" s="9">
        <v>0.911412003009439</v>
      </c>
      <c r="O443" s="1">
        <v>60</v>
      </c>
      <c r="P443" s="1">
        <v>6.6</v>
      </c>
      <c r="Q443" s="1">
        <v>0.174</v>
      </c>
      <c r="R443" s="1">
        <v>1</v>
      </c>
      <c r="S443" s="2">
        <v>0</v>
      </c>
      <c r="T443" s="1">
        <v>20</v>
      </c>
      <c r="U443" s="17">
        <v>0.868253123396246</v>
      </c>
      <c r="V443" s="4">
        <v>20.1</v>
      </c>
      <c r="W443" s="1">
        <v>3.4</v>
      </c>
      <c r="X443" s="8">
        <v>351.996059375075</v>
      </c>
      <c r="Y443" s="18">
        <v>55.1953729101602</v>
      </c>
      <c r="Z443" s="3">
        <v>0.911412003009439</v>
      </c>
    </row>
    <row r="444" spans="2:26">
      <c r="B444" s="1">
        <v>60</v>
      </c>
      <c r="C444" s="1">
        <v>7.4</v>
      </c>
      <c r="D444" s="1">
        <v>0.174</v>
      </c>
      <c r="E444" s="1">
        <v>1</v>
      </c>
      <c r="F444" s="2">
        <v>0</v>
      </c>
      <c r="G444" s="1">
        <v>20</v>
      </c>
      <c r="H444" s="3">
        <v>0.868253123396246</v>
      </c>
      <c r="I444" s="4">
        <v>20.1</v>
      </c>
      <c r="J444" s="1">
        <v>3.6</v>
      </c>
      <c r="K444" s="7">
        <v>383.428952506919</v>
      </c>
      <c r="L444" s="8">
        <v>59.5682788844793</v>
      </c>
      <c r="M444" s="9">
        <v>0.86071124033241</v>
      </c>
      <c r="O444" s="1">
        <v>60</v>
      </c>
      <c r="P444" s="1">
        <v>7.4</v>
      </c>
      <c r="Q444" s="1">
        <v>0.174</v>
      </c>
      <c r="R444" s="1">
        <v>1</v>
      </c>
      <c r="S444" s="2">
        <v>0</v>
      </c>
      <c r="T444" s="1">
        <v>20</v>
      </c>
      <c r="U444" s="17">
        <v>0.868253123396246</v>
      </c>
      <c r="V444" s="4">
        <v>20.1</v>
      </c>
      <c r="W444" s="1">
        <v>3.6</v>
      </c>
      <c r="X444" s="8">
        <v>383.428952506919</v>
      </c>
      <c r="Y444" s="18">
        <v>59.5682788844793</v>
      </c>
      <c r="Z444" s="3">
        <v>0.86071124033241</v>
      </c>
    </row>
    <row r="445" spans="2:26">
      <c r="B445" s="1">
        <v>60</v>
      </c>
      <c r="C445" s="1">
        <v>8.2</v>
      </c>
      <c r="D445" s="1">
        <v>0.174</v>
      </c>
      <c r="E445" s="1">
        <v>1</v>
      </c>
      <c r="F445" s="2">
        <v>0</v>
      </c>
      <c r="G445" s="1">
        <v>20</v>
      </c>
      <c r="H445" s="3">
        <v>0.868253123396246</v>
      </c>
      <c r="I445" s="4">
        <v>20.1</v>
      </c>
      <c r="J445" s="1">
        <v>3.9</v>
      </c>
      <c r="K445" s="7">
        <v>420.144060158816</v>
      </c>
      <c r="L445" s="8">
        <v>64.8723660614287</v>
      </c>
      <c r="M445" s="9">
        <v>0.841481125915512</v>
      </c>
      <c r="O445" s="1">
        <v>60</v>
      </c>
      <c r="P445" s="1">
        <v>8.2</v>
      </c>
      <c r="Q445" s="1">
        <v>0.174</v>
      </c>
      <c r="R445" s="1">
        <v>1</v>
      </c>
      <c r="S445" s="2">
        <v>0</v>
      </c>
      <c r="T445" s="1">
        <v>20</v>
      </c>
      <c r="U445" s="17">
        <v>0.868253123396246</v>
      </c>
      <c r="V445" s="4">
        <v>20.1</v>
      </c>
      <c r="W445" s="1">
        <v>3.9</v>
      </c>
      <c r="X445" s="8">
        <v>420.144060158816</v>
      </c>
      <c r="Y445" s="18">
        <v>64.8723660614287</v>
      </c>
      <c r="Z445" s="3">
        <v>0.841481125915512</v>
      </c>
    </row>
    <row r="446" spans="2:26">
      <c r="B446" s="1">
        <v>60</v>
      </c>
      <c r="C446" s="1">
        <v>9</v>
      </c>
      <c r="D446" s="1">
        <v>0.174</v>
      </c>
      <c r="E446" s="1">
        <v>1</v>
      </c>
      <c r="F446" s="2">
        <v>0</v>
      </c>
      <c r="G446" s="1">
        <v>20</v>
      </c>
      <c r="H446" s="3">
        <v>0.868253123396246</v>
      </c>
      <c r="I446" s="4">
        <v>20.2</v>
      </c>
      <c r="J446" s="1">
        <v>4.1</v>
      </c>
      <c r="K446" s="7">
        <v>451.568463682671</v>
      </c>
      <c r="L446" s="8">
        <v>69.1923803181591</v>
      </c>
      <c r="M446" s="9">
        <v>0.806012733776826</v>
      </c>
      <c r="O446" s="1">
        <v>60</v>
      </c>
      <c r="P446" s="1">
        <v>9</v>
      </c>
      <c r="Q446" s="1">
        <v>0.174</v>
      </c>
      <c r="R446" s="1">
        <v>1</v>
      </c>
      <c r="S446" s="2">
        <v>0</v>
      </c>
      <c r="T446" s="1">
        <v>20</v>
      </c>
      <c r="U446" s="17">
        <v>0.868253123396246</v>
      </c>
      <c r="V446" s="4">
        <v>20.2</v>
      </c>
      <c r="W446" s="1">
        <v>4.1</v>
      </c>
      <c r="X446" s="8">
        <v>451.568463682671</v>
      </c>
      <c r="Y446" s="18">
        <v>69.1923803181591</v>
      </c>
      <c r="Z446" s="3">
        <v>0.806012733776826</v>
      </c>
    </row>
    <row r="447" spans="2:26">
      <c r="B447" s="1">
        <v>60</v>
      </c>
      <c r="C447" s="1">
        <v>9.8</v>
      </c>
      <c r="D447" s="1">
        <v>0.174</v>
      </c>
      <c r="E447" s="1">
        <v>1</v>
      </c>
      <c r="F447" s="2">
        <v>0</v>
      </c>
      <c r="G447" s="1">
        <v>20</v>
      </c>
      <c r="H447" s="3">
        <v>0.868253123396246</v>
      </c>
      <c r="I447" s="4">
        <v>20.2</v>
      </c>
      <c r="J447" s="1">
        <v>4.3</v>
      </c>
      <c r="K447" s="7">
        <v>482.988619428978</v>
      </c>
      <c r="L447" s="8">
        <v>73.4910829092302</v>
      </c>
      <c r="M447" s="9">
        <v>0.776336252050203</v>
      </c>
      <c r="O447" s="1">
        <v>60</v>
      </c>
      <c r="P447" s="1">
        <v>9.8</v>
      </c>
      <c r="Q447" s="1">
        <v>0.174</v>
      </c>
      <c r="R447" s="1">
        <v>1</v>
      </c>
      <c r="S447" s="2">
        <v>0</v>
      </c>
      <c r="T447" s="1">
        <v>20</v>
      </c>
      <c r="U447" s="17">
        <v>0.868253123396246</v>
      </c>
      <c r="V447" s="4">
        <v>20.2</v>
      </c>
      <c r="W447" s="1">
        <v>4.3</v>
      </c>
      <c r="X447" s="8">
        <v>482.988619428978</v>
      </c>
      <c r="Y447" s="18">
        <v>73.4910829092302</v>
      </c>
      <c r="Z447" s="3">
        <v>0.776336252050203</v>
      </c>
    </row>
    <row r="448" spans="2:26">
      <c r="B448" s="1">
        <v>55</v>
      </c>
      <c r="C448" s="1">
        <v>5</v>
      </c>
      <c r="D448" s="1">
        <v>0.174</v>
      </c>
      <c r="E448" s="1">
        <v>1</v>
      </c>
      <c r="F448" s="2">
        <v>0</v>
      </c>
      <c r="G448" s="1">
        <v>20</v>
      </c>
      <c r="H448" s="3">
        <v>0.89760467536325</v>
      </c>
      <c r="I448" s="4">
        <v>20.1</v>
      </c>
      <c r="J448" s="1">
        <v>1.9</v>
      </c>
      <c r="K448" s="7">
        <v>202.553094856064</v>
      </c>
      <c r="L448" s="8">
        <v>35.6132434440563</v>
      </c>
      <c r="M448" s="9">
        <v>0.822500686528721</v>
      </c>
      <c r="O448" s="1">
        <v>55</v>
      </c>
      <c r="P448" s="1">
        <v>5</v>
      </c>
      <c r="Q448" s="1">
        <v>0.174</v>
      </c>
      <c r="R448" s="1">
        <v>1</v>
      </c>
      <c r="S448" s="2">
        <v>0</v>
      </c>
      <c r="T448" s="1">
        <v>20</v>
      </c>
      <c r="U448" s="17">
        <v>0.89760467536325</v>
      </c>
      <c r="V448" s="4">
        <v>20.1</v>
      </c>
      <c r="W448" s="1">
        <v>1.9</v>
      </c>
      <c r="X448" s="8">
        <v>202.553094856064</v>
      </c>
      <c r="Y448" s="18">
        <v>35.6132434440563</v>
      </c>
      <c r="Z448" s="3">
        <v>0.822500686528721</v>
      </c>
    </row>
    <row r="449" spans="2:26">
      <c r="B449" s="1">
        <v>55</v>
      </c>
      <c r="C449" s="1">
        <v>5.8</v>
      </c>
      <c r="D449" s="1">
        <v>0.174</v>
      </c>
      <c r="E449" s="1">
        <v>1</v>
      </c>
      <c r="F449" s="2">
        <v>0</v>
      </c>
      <c r="G449" s="1">
        <v>20</v>
      </c>
      <c r="H449" s="3">
        <v>0.89760467536325</v>
      </c>
      <c r="I449" s="4">
        <v>20.1</v>
      </c>
      <c r="J449" s="1">
        <v>2.2</v>
      </c>
      <c r="K449" s="7">
        <v>234.73452165274</v>
      </c>
      <c r="L449" s="8">
        <v>40.913052579592</v>
      </c>
      <c r="M449" s="9">
        <v>0.821021153892552</v>
      </c>
      <c r="O449" s="1">
        <v>55</v>
      </c>
      <c r="P449" s="1">
        <v>5.8</v>
      </c>
      <c r="Q449" s="1">
        <v>0.174</v>
      </c>
      <c r="R449" s="1">
        <v>1</v>
      </c>
      <c r="S449" s="2">
        <v>0</v>
      </c>
      <c r="T449" s="1">
        <v>20</v>
      </c>
      <c r="U449" s="17">
        <v>0.89760467536325</v>
      </c>
      <c r="V449" s="4">
        <v>20.1</v>
      </c>
      <c r="W449" s="1">
        <v>2.2</v>
      </c>
      <c r="X449" s="8">
        <v>234.73452165274</v>
      </c>
      <c r="Y449" s="18">
        <v>40.913052579592</v>
      </c>
      <c r="Z449" s="3">
        <v>0.821021153892552</v>
      </c>
    </row>
    <row r="450" spans="2:26">
      <c r="B450" s="1">
        <v>55</v>
      </c>
      <c r="C450" s="1">
        <v>6.6</v>
      </c>
      <c r="D450" s="1">
        <v>0.174</v>
      </c>
      <c r="E450" s="1">
        <v>1</v>
      </c>
      <c r="F450" s="2">
        <v>0</v>
      </c>
      <c r="G450" s="1">
        <v>20</v>
      </c>
      <c r="H450" s="3">
        <v>0.89760467536325</v>
      </c>
      <c r="I450" s="4">
        <v>20.1</v>
      </c>
      <c r="J450" s="1">
        <v>2.5</v>
      </c>
      <c r="K450" s="7">
        <v>266.947168543338</v>
      </c>
      <c r="L450" s="8">
        <v>47.6535727090301</v>
      </c>
      <c r="M450" s="9">
        <v>0.819877079873127</v>
      </c>
      <c r="O450" s="1">
        <v>55</v>
      </c>
      <c r="P450" s="1">
        <v>6.6</v>
      </c>
      <c r="Q450" s="1">
        <v>0.174</v>
      </c>
      <c r="R450" s="1">
        <v>1</v>
      </c>
      <c r="S450" s="2">
        <v>0</v>
      </c>
      <c r="T450" s="1">
        <v>20</v>
      </c>
      <c r="U450" s="17">
        <v>0.89760467536325</v>
      </c>
      <c r="V450" s="4">
        <v>20.1</v>
      </c>
      <c r="W450" s="1">
        <v>2.5</v>
      </c>
      <c r="X450" s="8">
        <v>266.947168543338</v>
      </c>
      <c r="Y450" s="18">
        <v>47.6535727090301</v>
      </c>
      <c r="Z450" s="3">
        <v>0.819877079873127</v>
      </c>
    </row>
    <row r="451" spans="2:26">
      <c r="B451" s="1">
        <v>55</v>
      </c>
      <c r="C451" s="1">
        <v>7.4</v>
      </c>
      <c r="D451" s="1">
        <v>0.174</v>
      </c>
      <c r="E451" s="1">
        <v>1</v>
      </c>
      <c r="F451" s="2">
        <v>0</v>
      </c>
      <c r="G451" s="1">
        <v>20</v>
      </c>
      <c r="H451" s="3">
        <v>0.89760467536325</v>
      </c>
      <c r="I451" s="4">
        <v>20.1</v>
      </c>
      <c r="J451" s="1">
        <v>2.6</v>
      </c>
      <c r="K451" s="7">
        <v>288.511520490356</v>
      </c>
      <c r="L451" s="8">
        <v>49.3373408256017</v>
      </c>
      <c r="M451" s="9">
        <v>0.760528095000174</v>
      </c>
      <c r="O451" s="1">
        <v>55</v>
      </c>
      <c r="P451" s="1">
        <v>7.4</v>
      </c>
      <c r="Q451" s="1">
        <v>0.174</v>
      </c>
      <c r="R451" s="1">
        <v>1</v>
      </c>
      <c r="S451" s="2">
        <v>0</v>
      </c>
      <c r="T451" s="1">
        <v>20</v>
      </c>
      <c r="U451" s="17">
        <v>0.89760467536325</v>
      </c>
      <c r="V451" s="4">
        <v>20.1</v>
      </c>
      <c r="W451" s="1">
        <v>2.6</v>
      </c>
      <c r="X451" s="8">
        <v>288.511520490356</v>
      </c>
      <c r="Y451" s="18">
        <v>49.3373408256017</v>
      </c>
      <c r="Z451" s="3">
        <v>0.760528095000174</v>
      </c>
    </row>
    <row r="452" spans="2:26">
      <c r="B452" s="1">
        <v>55</v>
      </c>
      <c r="C452" s="1">
        <v>8.2</v>
      </c>
      <c r="D452" s="1">
        <v>0.174</v>
      </c>
      <c r="E452" s="1">
        <v>1</v>
      </c>
      <c r="F452" s="2">
        <v>0</v>
      </c>
      <c r="G452" s="1">
        <v>20</v>
      </c>
      <c r="H452" s="3">
        <v>0.89760467536325</v>
      </c>
      <c r="I452" s="4">
        <v>20.1</v>
      </c>
      <c r="J452" s="1">
        <v>2.7</v>
      </c>
      <c r="K452" s="7">
        <v>310.107088322679</v>
      </c>
      <c r="L452" s="8">
        <v>52.4673045303269</v>
      </c>
      <c r="M452" s="9">
        <v>0.712739015111651</v>
      </c>
      <c r="O452" s="1">
        <v>55</v>
      </c>
      <c r="P452" s="1">
        <v>8.2</v>
      </c>
      <c r="Q452" s="1">
        <v>0.174</v>
      </c>
      <c r="R452" s="1">
        <v>1</v>
      </c>
      <c r="S452" s="2">
        <v>0</v>
      </c>
      <c r="T452" s="1">
        <v>20</v>
      </c>
      <c r="U452" s="17">
        <v>0.89760467536325</v>
      </c>
      <c r="V452" s="4">
        <v>20.1</v>
      </c>
      <c r="W452" s="1">
        <v>2.7</v>
      </c>
      <c r="X452" s="8">
        <v>310.107088322679</v>
      </c>
      <c r="Y452" s="18">
        <v>52.4673045303269</v>
      </c>
      <c r="Z452" s="3">
        <v>0.712739015111651</v>
      </c>
    </row>
    <row r="453" spans="2:26">
      <c r="B453" s="1">
        <v>55</v>
      </c>
      <c r="C453" s="1">
        <v>9</v>
      </c>
      <c r="D453" s="1">
        <v>0.174</v>
      </c>
      <c r="E453" s="1">
        <v>1</v>
      </c>
      <c r="F453" s="2">
        <v>0</v>
      </c>
      <c r="G453" s="1">
        <v>20</v>
      </c>
      <c r="H453" s="3">
        <v>0.89760467536325</v>
      </c>
      <c r="I453" s="4">
        <v>20.2</v>
      </c>
      <c r="J453" s="1">
        <v>2.9</v>
      </c>
      <c r="K453" s="7">
        <v>336.984796177999</v>
      </c>
      <c r="L453" s="8">
        <v>56.5963171742777</v>
      </c>
      <c r="M453" s="9">
        <v>0.6974982078529</v>
      </c>
      <c r="O453" s="1">
        <v>55</v>
      </c>
      <c r="P453" s="1">
        <v>9</v>
      </c>
      <c r="Q453" s="1">
        <v>0.174</v>
      </c>
      <c r="R453" s="1">
        <v>1</v>
      </c>
      <c r="S453" s="2">
        <v>0</v>
      </c>
      <c r="T453" s="1">
        <v>20</v>
      </c>
      <c r="U453" s="17">
        <v>0.89760467536325</v>
      </c>
      <c r="V453" s="4">
        <v>20.2</v>
      </c>
      <c r="W453" s="1">
        <v>2.9</v>
      </c>
      <c r="X453" s="8">
        <v>336.984796177999</v>
      </c>
      <c r="Y453" s="18">
        <v>56.5963171742777</v>
      </c>
      <c r="Z453" s="3">
        <v>0.6974982078529</v>
      </c>
    </row>
    <row r="454" spans="2:26">
      <c r="B454" s="1">
        <v>55</v>
      </c>
      <c r="C454" s="1">
        <v>9.8</v>
      </c>
      <c r="D454" s="1">
        <v>0.174</v>
      </c>
      <c r="E454" s="1">
        <v>1</v>
      </c>
      <c r="F454" s="2">
        <v>0</v>
      </c>
      <c r="G454" s="1">
        <v>20</v>
      </c>
      <c r="H454" s="3">
        <v>0.89760467536325</v>
      </c>
      <c r="I454" s="4">
        <v>20.2</v>
      </c>
      <c r="J454" s="1">
        <v>3.1</v>
      </c>
      <c r="K454" s="7">
        <v>363.85818361494</v>
      </c>
      <c r="L454" s="8">
        <v>60.7024982993864</v>
      </c>
      <c r="M454" s="9">
        <v>0.684747117042214</v>
      </c>
      <c r="O454" s="1">
        <v>55</v>
      </c>
      <c r="P454" s="1">
        <v>9.8</v>
      </c>
      <c r="Q454" s="1">
        <v>0.174</v>
      </c>
      <c r="R454" s="1">
        <v>1</v>
      </c>
      <c r="S454" s="2">
        <v>0</v>
      </c>
      <c r="T454" s="1">
        <v>20</v>
      </c>
      <c r="U454" s="17">
        <v>0.89760467536325</v>
      </c>
      <c r="V454" s="4">
        <v>20.2</v>
      </c>
      <c r="W454" s="1">
        <v>3.1</v>
      </c>
      <c r="X454" s="8">
        <v>363.85818361494</v>
      </c>
      <c r="Y454" s="18">
        <v>60.7024982993864</v>
      </c>
      <c r="Z454" s="3">
        <v>0.684747117042214</v>
      </c>
    </row>
    <row r="455" spans="2:26">
      <c r="B455" s="1">
        <v>50</v>
      </c>
      <c r="C455" s="1">
        <v>5</v>
      </c>
      <c r="D455" s="1">
        <v>0.174</v>
      </c>
      <c r="E455" s="1">
        <v>1</v>
      </c>
      <c r="F455" s="2">
        <v>0</v>
      </c>
      <c r="G455" s="1">
        <v>20</v>
      </c>
      <c r="H455" s="3">
        <v>0.920818198615511</v>
      </c>
      <c r="I455" s="4">
        <v>20.1</v>
      </c>
      <c r="J455" s="1">
        <v>1.3</v>
      </c>
      <c r="K455" s="7">
        <v>147.080936505822</v>
      </c>
      <c r="L455" s="8">
        <v>29.1049630920269</v>
      </c>
      <c r="M455" s="9">
        <v>0.691891188849405</v>
      </c>
      <c r="O455" s="1">
        <v>50</v>
      </c>
      <c r="P455" s="1">
        <v>5</v>
      </c>
      <c r="Q455" s="1">
        <v>0.174</v>
      </c>
      <c r="R455" s="1">
        <v>1</v>
      </c>
      <c r="S455" s="2">
        <v>0</v>
      </c>
      <c r="T455" s="1">
        <v>20</v>
      </c>
      <c r="U455" s="17">
        <v>0.920818198615511</v>
      </c>
      <c r="V455" s="4">
        <v>20.1</v>
      </c>
      <c r="W455" s="1">
        <v>1.3</v>
      </c>
      <c r="X455" s="8">
        <v>147.080936505822</v>
      </c>
      <c r="Y455" s="18">
        <v>29.1049630920269</v>
      </c>
      <c r="Z455" s="3">
        <v>0.691891188849405</v>
      </c>
    </row>
    <row r="456" spans="2:26">
      <c r="B456" s="1">
        <v>50</v>
      </c>
      <c r="C456" s="1">
        <v>5.8</v>
      </c>
      <c r="D456" s="1">
        <v>0.174</v>
      </c>
      <c r="E456" s="1">
        <v>1</v>
      </c>
      <c r="F456" s="2">
        <v>0</v>
      </c>
      <c r="G456" s="1">
        <v>20</v>
      </c>
      <c r="H456" s="3">
        <v>0.920818198615511</v>
      </c>
      <c r="I456" s="4">
        <v>20.1</v>
      </c>
      <c r="J456" s="1">
        <v>1.6</v>
      </c>
      <c r="K456" s="7">
        <v>175.461590223818</v>
      </c>
      <c r="L456" s="8">
        <v>34.4452006803875</v>
      </c>
      <c r="M456" s="9">
        <v>0.734113963781868</v>
      </c>
      <c r="O456" s="1">
        <v>50</v>
      </c>
      <c r="P456" s="1">
        <v>5.8</v>
      </c>
      <c r="Q456" s="1">
        <v>0.174</v>
      </c>
      <c r="R456" s="1">
        <v>1</v>
      </c>
      <c r="S456" s="2">
        <v>0</v>
      </c>
      <c r="T456" s="1">
        <v>20</v>
      </c>
      <c r="U456" s="17">
        <v>0.920818198615511</v>
      </c>
      <c r="V456" s="4">
        <v>20.1</v>
      </c>
      <c r="W456" s="1">
        <v>1.6</v>
      </c>
      <c r="X456" s="8">
        <v>175.461590223818</v>
      </c>
      <c r="Y456" s="18">
        <v>34.4452006803875</v>
      </c>
      <c r="Z456" s="3">
        <v>0.734113963781868</v>
      </c>
    </row>
    <row r="457" spans="2:26">
      <c r="B457" s="1">
        <v>50</v>
      </c>
      <c r="C457" s="1">
        <v>6.6</v>
      </c>
      <c r="D457" s="1">
        <v>0.174</v>
      </c>
      <c r="E457" s="1">
        <v>1</v>
      </c>
      <c r="F457" s="2">
        <v>0</v>
      </c>
      <c r="G457" s="1">
        <v>20</v>
      </c>
      <c r="H457" s="3">
        <v>0.920818198615511</v>
      </c>
      <c r="I457" s="4">
        <v>20.1</v>
      </c>
      <c r="J457" s="1">
        <v>1.8</v>
      </c>
      <c r="K457" s="7">
        <v>198.551410495509</v>
      </c>
      <c r="L457" s="8">
        <v>38.6042879114733</v>
      </c>
      <c r="M457" s="9">
        <v>0.725783530992393</v>
      </c>
      <c r="O457" s="1">
        <v>50</v>
      </c>
      <c r="P457" s="1">
        <v>6.6</v>
      </c>
      <c r="Q457" s="1">
        <v>0.174</v>
      </c>
      <c r="R457" s="1">
        <v>1</v>
      </c>
      <c r="S457" s="2">
        <v>0</v>
      </c>
      <c r="T457" s="1">
        <v>20</v>
      </c>
      <c r="U457" s="17">
        <v>0.920818198615511</v>
      </c>
      <c r="V457" s="4">
        <v>20.1</v>
      </c>
      <c r="W457" s="1">
        <v>1.8</v>
      </c>
      <c r="X457" s="8">
        <v>198.551410495509</v>
      </c>
      <c r="Y457" s="18">
        <v>38.6042879114733</v>
      </c>
      <c r="Z457" s="3">
        <v>0.725783530992393</v>
      </c>
    </row>
    <row r="458" spans="2:26">
      <c r="B458" s="1">
        <v>50</v>
      </c>
      <c r="C458" s="1">
        <v>7.4</v>
      </c>
      <c r="D458" s="1">
        <v>0.174</v>
      </c>
      <c r="E458" s="1">
        <v>1</v>
      </c>
      <c r="F458" s="2">
        <v>0</v>
      </c>
      <c r="G458" s="1">
        <v>20</v>
      </c>
      <c r="H458" s="3">
        <v>0.920818198615511</v>
      </c>
      <c r="I458" s="4">
        <v>20.1</v>
      </c>
      <c r="J458" s="1">
        <v>2.1</v>
      </c>
      <c r="K458" s="7">
        <v>226.923311777567</v>
      </c>
      <c r="L458" s="8">
        <v>43.871683797865</v>
      </c>
      <c r="M458" s="9">
        <v>0.755219436215324</v>
      </c>
      <c r="O458" s="1">
        <v>50</v>
      </c>
      <c r="P458" s="1">
        <v>7.4</v>
      </c>
      <c r="Q458" s="1">
        <v>0.174</v>
      </c>
      <c r="R458" s="1">
        <v>1</v>
      </c>
      <c r="S458" s="2">
        <v>0</v>
      </c>
      <c r="T458" s="1">
        <v>20</v>
      </c>
      <c r="U458" s="17">
        <v>0.920818198615511</v>
      </c>
      <c r="V458" s="4">
        <v>20.1</v>
      </c>
      <c r="W458" s="1">
        <v>2.1</v>
      </c>
      <c r="X458" s="8">
        <v>226.923311777567</v>
      </c>
      <c r="Y458" s="18">
        <v>43.871683797865</v>
      </c>
      <c r="Z458" s="3">
        <v>0.755219436215324</v>
      </c>
    </row>
    <row r="459" spans="2:26">
      <c r="B459" s="1">
        <v>50</v>
      </c>
      <c r="C459" s="1">
        <v>8.2</v>
      </c>
      <c r="D459" s="1">
        <v>0.174</v>
      </c>
      <c r="E459" s="1">
        <v>1</v>
      </c>
      <c r="F459" s="2">
        <v>0</v>
      </c>
      <c r="G459" s="1">
        <v>20</v>
      </c>
      <c r="H459" s="3">
        <v>0.920818198615511</v>
      </c>
      <c r="I459" s="4">
        <v>20.1</v>
      </c>
      <c r="J459" s="1">
        <v>2.3</v>
      </c>
      <c r="K459" s="7">
        <v>250.004375191764</v>
      </c>
      <c r="L459" s="8">
        <v>47.9647841587826</v>
      </c>
      <c r="M459" s="9">
        <v>0.746460120493283</v>
      </c>
      <c r="O459" s="1">
        <v>50</v>
      </c>
      <c r="P459" s="1">
        <v>8.2</v>
      </c>
      <c r="Q459" s="1">
        <v>0.174</v>
      </c>
      <c r="R459" s="1">
        <v>1</v>
      </c>
      <c r="S459" s="2">
        <v>0</v>
      </c>
      <c r="T459" s="1">
        <v>20</v>
      </c>
      <c r="U459" s="17">
        <v>0.920818198615511</v>
      </c>
      <c r="V459" s="4">
        <v>20.1</v>
      </c>
      <c r="W459" s="1">
        <v>2.3</v>
      </c>
      <c r="X459" s="8">
        <v>250.004375191764</v>
      </c>
      <c r="Y459" s="18">
        <v>47.9647841587826</v>
      </c>
      <c r="Z459" s="3">
        <v>0.746460120493283</v>
      </c>
    </row>
    <row r="460" spans="2:26">
      <c r="B460" s="1">
        <v>50</v>
      </c>
      <c r="C460" s="1">
        <v>9</v>
      </c>
      <c r="D460" s="1">
        <v>0.174</v>
      </c>
      <c r="E460" s="1">
        <v>1</v>
      </c>
      <c r="F460" s="2">
        <v>0</v>
      </c>
      <c r="G460" s="1">
        <v>20</v>
      </c>
      <c r="H460" s="3">
        <v>0.920818198615511</v>
      </c>
      <c r="I460" s="4">
        <v>20.2</v>
      </c>
      <c r="J460" s="1">
        <v>2.5</v>
      </c>
      <c r="K460" s="7">
        <v>273.081056858312</v>
      </c>
      <c r="L460" s="8">
        <v>52.0332339027666</v>
      </c>
      <c r="M460" s="9">
        <v>0.739259934748323</v>
      </c>
      <c r="O460" s="1">
        <v>50</v>
      </c>
      <c r="P460" s="1">
        <v>9</v>
      </c>
      <c r="Q460" s="1">
        <v>0.174</v>
      </c>
      <c r="R460" s="1">
        <v>1</v>
      </c>
      <c r="S460" s="2">
        <v>0</v>
      </c>
      <c r="T460" s="1">
        <v>20</v>
      </c>
      <c r="U460" s="17">
        <v>0.920818198615511</v>
      </c>
      <c r="V460" s="4">
        <v>20.2</v>
      </c>
      <c r="W460" s="1">
        <v>2.5</v>
      </c>
      <c r="X460" s="8">
        <v>273.081056858312</v>
      </c>
      <c r="Y460" s="18">
        <v>52.0332339027666</v>
      </c>
      <c r="Z460" s="3">
        <v>0.739259934748323</v>
      </c>
    </row>
    <row r="461" spans="2:26">
      <c r="B461" s="1">
        <v>50</v>
      </c>
      <c r="C461" s="1">
        <v>9.8</v>
      </c>
      <c r="D461" s="1">
        <v>0.174</v>
      </c>
      <c r="E461" s="1">
        <v>1</v>
      </c>
      <c r="F461" s="2">
        <v>0</v>
      </c>
      <c r="G461" s="1">
        <v>20</v>
      </c>
      <c r="H461" s="3">
        <v>0.920818198615511</v>
      </c>
      <c r="I461" s="4">
        <v>20.2</v>
      </c>
      <c r="J461" s="1">
        <v>2.7</v>
      </c>
      <c r="K461" s="7">
        <v>296.153354562523</v>
      </c>
      <c r="L461" s="8">
        <v>56.0821937365585</v>
      </c>
      <c r="M461" s="9">
        <v>0.733237051230956</v>
      </c>
      <c r="O461" s="1">
        <v>50</v>
      </c>
      <c r="P461" s="1">
        <v>9.8</v>
      </c>
      <c r="Q461" s="1">
        <v>0.174</v>
      </c>
      <c r="R461" s="1">
        <v>1</v>
      </c>
      <c r="S461" s="2">
        <v>0</v>
      </c>
      <c r="T461" s="1">
        <v>20</v>
      </c>
      <c r="U461" s="17">
        <v>0.920818198615511</v>
      </c>
      <c r="V461" s="4">
        <v>20.2</v>
      </c>
      <c r="W461" s="1">
        <v>2.7</v>
      </c>
      <c r="X461" s="8">
        <v>296.153354562523</v>
      </c>
      <c r="Y461" s="18">
        <v>56.0821937365585</v>
      </c>
      <c r="Z461" s="3">
        <v>0.733237051230956</v>
      </c>
    </row>
    <row r="462" spans="2:26">
      <c r="B462" s="1">
        <v>50</v>
      </c>
      <c r="C462" s="1">
        <v>5.8</v>
      </c>
      <c r="D462" s="1">
        <v>0.03</v>
      </c>
      <c r="E462" s="1">
        <v>1</v>
      </c>
      <c r="F462" s="2">
        <v>0</v>
      </c>
      <c r="G462" s="1">
        <v>20</v>
      </c>
      <c r="H462" s="3">
        <v>0.920818198615511</v>
      </c>
      <c r="I462" s="4">
        <v>20.2</v>
      </c>
      <c r="J462" s="1">
        <v>8.2</v>
      </c>
      <c r="K462" s="7">
        <v>165.475059833049</v>
      </c>
      <c r="L462" s="8">
        <v>35.9398644217369</v>
      </c>
      <c r="M462" s="9">
        <v>0.64877297560088</v>
      </c>
      <c r="O462" s="1">
        <v>50</v>
      </c>
      <c r="P462" s="1">
        <v>5.8</v>
      </c>
      <c r="Q462" s="1">
        <v>0.03</v>
      </c>
      <c r="R462" s="1">
        <v>1</v>
      </c>
      <c r="S462" s="2">
        <v>0</v>
      </c>
      <c r="T462" s="1">
        <v>20</v>
      </c>
      <c r="U462" s="17">
        <v>0.920818198615511</v>
      </c>
      <c r="V462" s="4">
        <v>20.2</v>
      </c>
      <c r="W462" s="1">
        <v>8.2</v>
      </c>
      <c r="X462" s="8">
        <v>165.475059833049</v>
      </c>
      <c r="Y462" s="18">
        <v>35.9398644217369</v>
      </c>
      <c r="Z462" s="3">
        <v>0.64877297560088</v>
      </c>
    </row>
    <row r="463" spans="2:26">
      <c r="B463" s="1">
        <v>50</v>
      </c>
      <c r="C463" s="1">
        <v>6.2</v>
      </c>
      <c r="D463" s="1">
        <v>0.078</v>
      </c>
      <c r="E463" s="1">
        <v>1</v>
      </c>
      <c r="F463" s="2">
        <v>0</v>
      </c>
      <c r="G463" s="1">
        <v>20</v>
      </c>
      <c r="H463" s="3">
        <v>0.920818198615511</v>
      </c>
      <c r="I463" s="4">
        <v>20.2</v>
      </c>
      <c r="J463" s="1">
        <v>4</v>
      </c>
      <c r="K463" s="7">
        <v>191.784762235329</v>
      </c>
      <c r="L463" s="8">
        <v>36.1829045446859</v>
      </c>
      <c r="M463" s="9">
        <v>0.769747952168471</v>
      </c>
      <c r="O463" s="1">
        <v>50</v>
      </c>
      <c r="P463" s="1">
        <v>6.2</v>
      </c>
      <c r="Q463" s="1">
        <v>0.078</v>
      </c>
      <c r="R463" s="1">
        <v>1</v>
      </c>
      <c r="S463" s="2">
        <v>0</v>
      </c>
      <c r="T463" s="1">
        <v>20</v>
      </c>
      <c r="U463" s="17">
        <v>0.920818198615511</v>
      </c>
      <c r="V463" s="4">
        <v>20.2</v>
      </c>
      <c r="W463" s="1">
        <v>4</v>
      </c>
      <c r="X463" s="8">
        <v>191.784762235329</v>
      </c>
      <c r="Y463" s="18">
        <v>36.1829045446859</v>
      </c>
      <c r="Z463" s="3">
        <v>0.769747952168471</v>
      </c>
    </row>
    <row r="464" spans="2:26">
      <c r="B464" s="1">
        <v>50</v>
      </c>
      <c r="C464" s="1">
        <v>6.6</v>
      </c>
      <c r="D464" s="1">
        <v>0.126</v>
      </c>
      <c r="E464" s="1">
        <v>1</v>
      </c>
      <c r="F464" s="2">
        <v>0</v>
      </c>
      <c r="G464" s="1">
        <v>20</v>
      </c>
      <c r="H464" s="3">
        <v>0.920818198615511</v>
      </c>
      <c r="I464" s="4">
        <v>20.2</v>
      </c>
      <c r="J464" s="1">
        <v>2.6</v>
      </c>
      <c r="K464" s="7">
        <v>202.781964637608</v>
      </c>
      <c r="L464" s="8">
        <v>36.6795366955509</v>
      </c>
      <c r="M464" s="9">
        <v>0.759251389184356</v>
      </c>
      <c r="O464" s="1">
        <v>50</v>
      </c>
      <c r="P464" s="1">
        <v>6.6</v>
      </c>
      <c r="Q464" s="1">
        <v>0.126</v>
      </c>
      <c r="R464" s="1">
        <v>1</v>
      </c>
      <c r="S464" s="2">
        <v>0</v>
      </c>
      <c r="T464" s="1">
        <v>20</v>
      </c>
      <c r="U464" s="17">
        <v>0.920818198615511</v>
      </c>
      <c r="V464" s="4">
        <v>20.2</v>
      </c>
      <c r="W464" s="1">
        <v>2.6</v>
      </c>
      <c r="X464" s="8">
        <v>202.781964637608</v>
      </c>
      <c r="Y464" s="18">
        <v>36.6795366955509</v>
      </c>
      <c r="Z464" s="3">
        <v>0.759251389184356</v>
      </c>
    </row>
    <row r="465" spans="2:26">
      <c r="B465" s="1">
        <v>50</v>
      </c>
      <c r="C465" s="1">
        <v>7</v>
      </c>
      <c r="D465" s="1">
        <v>0.174</v>
      </c>
      <c r="E465" s="1">
        <v>1</v>
      </c>
      <c r="F465" s="2">
        <v>0</v>
      </c>
      <c r="G465" s="1">
        <v>20</v>
      </c>
      <c r="H465" s="3">
        <v>0.920818198615511</v>
      </c>
      <c r="I465" s="4">
        <v>20.2</v>
      </c>
      <c r="J465" s="1">
        <v>2</v>
      </c>
      <c r="K465" s="7">
        <v>215.237500373221</v>
      </c>
      <c r="L465" s="8">
        <v>38.2599554957084</v>
      </c>
      <c r="M465" s="9">
        <v>0.760443306592808</v>
      </c>
      <c r="O465" s="1">
        <v>50</v>
      </c>
      <c r="P465" s="1">
        <v>7</v>
      </c>
      <c r="Q465" s="1">
        <v>0.174</v>
      </c>
      <c r="R465" s="1">
        <v>1</v>
      </c>
      <c r="S465" s="2">
        <v>0</v>
      </c>
      <c r="T465" s="1">
        <v>20</v>
      </c>
      <c r="U465" s="17">
        <v>0.920818198615511</v>
      </c>
      <c r="V465" s="4">
        <v>20.2</v>
      </c>
      <c r="W465" s="1">
        <v>2</v>
      </c>
      <c r="X465" s="8">
        <v>215.237500373221</v>
      </c>
      <c r="Y465" s="18">
        <v>38.2599554957084</v>
      </c>
      <c r="Z465" s="3">
        <v>0.760443306592808</v>
      </c>
    </row>
    <row r="466" spans="2:26">
      <c r="B466" s="1">
        <v>55</v>
      </c>
      <c r="C466" s="1">
        <v>5.8</v>
      </c>
      <c r="D466" s="1">
        <v>0.078</v>
      </c>
      <c r="E466" s="1">
        <v>1</v>
      </c>
      <c r="F466" s="2">
        <v>0</v>
      </c>
      <c r="G466" s="1">
        <v>20</v>
      </c>
      <c r="H466" s="3">
        <v>0.89760467536325</v>
      </c>
      <c r="I466" s="4">
        <v>20.2</v>
      </c>
      <c r="J466" s="1">
        <v>4.9</v>
      </c>
      <c r="K466" s="7">
        <v>234.411510851361</v>
      </c>
      <c r="L466" s="8">
        <v>39.3087177898889</v>
      </c>
      <c r="M466" s="9">
        <v>0.819852982280194</v>
      </c>
      <c r="O466" s="1">
        <v>55</v>
      </c>
      <c r="P466" s="1">
        <v>5.8</v>
      </c>
      <c r="Q466" s="1">
        <v>0.078</v>
      </c>
      <c r="R466" s="1">
        <v>1</v>
      </c>
      <c r="S466" s="2">
        <v>0</v>
      </c>
      <c r="T466" s="1">
        <v>20</v>
      </c>
      <c r="U466" s="17">
        <v>0.89760467536325</v>
      </c>
      <c r="V466" s="4">
        <v>20.2</v>
      </c>
      <c r="W466" s="1">
        <v>4.9</v>
      </c>
      <c r="X466" s="8">
        <v>234.411510851361</v>
      </c>
      <c r="Y466" s="18">
        <v>39.3087177898889</v>
      </c>
      <c r="Z466" s="3">
        <v>0.819852982280194</v>
      </c>
    </row>
    <row r="467" spans="2:26">
      <c r="B467" s="1">
        <v>55</v>
      </c>
      <c r="C467" s="1">
        <v>6.2</v>
      </c>
      <c r="D467" s="1">
        <v>0.03</v>
      </c>
      <c r="E467" s="1">
        <v>1</v>
      </c>
      <c r="F467" s="2">
        <v>0</v>
      </c>
      <c r="G467" s="1">
        <v>20</v>
      </c>
      <c r="H467" s="3">
        <v>0.89760467536325</v>
      </c>
      <c r="I467" s="4">
        <v>20.2</v>
      </c>
      <c r="J467" s="1">
        <v>10.6</v>
      </c>
      <c r="K467" s="7">
        <v>223.064352116972</v>
      </c>
      <c r="L467" s="8">
        <v>44.2812331363522</v>
      </c>
      <c r="M467" s="9">
        <v>0.638129353200314</v>
      </c>
      <c r="O467" s="1">
        <v>55</v>
      </c>
      <c r="P467" s="1">
        <v>6.2</v>
      </c>
      <c r="Q467" s="1">
        <v>0.03</v>
      </c>
      <c r="R467" s="1">
        <v>1</v>
      </c>
      <c r="S467" s="2">
        <v>0</v>
      </c>
      <c r="T467" s="1">
        <v>20</v>
      </c>
      <c r="U467" s="17">
        <v>0.89760467536325</v>
      </c>
      <c r="V467" s="4">
        <v>20.2</v>
      </c>
      <c r="W467" s="1">
        <v>10.6</v>
      </c>
      <c r="X467" s="8">
        <v>223.064352116972</v>
      </c>
      <c r="Y467" s="18">
        <v>44.2812331363522</v>
      </c>
      <c r="Z467" s="3">
        <v>0.638129353200314</v>
      </c>
    </row>
    <row r="468" spans="2:26">
      <c r="B468" s="1">
        <v>55</v>
      </c>
      <c r="C468" s="1">
        <v>6.6</v>
      </c>
      <c r="D468" s="1">
        <v>0.174</v>
      </c>
      <c r="E468" s="1">
        <v>1</v>
      </c>
      <c r="F468" s="2">
        <v>0</v>
      </c>
      <c r="G468" s="1">
        <v>20</v>
      </c>
      <c r="H468" s="3">
        <v>0.89760467536325</v>
      </c>
      <c r="I468" s="4">
        <v>20.1</v>
      </c>
      <c r="J468" s="1">
        <v>2.5</v>
      </c>
      <c r="K468" s="7">
        <v>266.947168543338</v>
      </c>
      <c r="L468" s="8">
        <v>47.6535727090301</v>
      </c>
      <c r="M468" s="9">
        <v>0.819877079873127</v>
      </c>
      <c r="O468" s="1">
        <v>55</v>
      </c>
      <c r="P468" s="1">
        <v>6.6</v>
      </c>
      <c r="Q468" s="1">
        <v>0.174</v>
      </c>
      <c r="R468" s="1">
        <v>1</v>
      </c>
      <c r="S468" s="2">
        <v>0</v>
      </c>
      <c r="T468" s="1">
        <v>20</v>
      </c>
      <c r="U468" s="17">
        <v>0.89760467536325</v>
      </c>
      <c r="V468" s="4">
        <v>20.1</v>
      </c>
      <c r="W468" s="1">
        <v>2.5</v>
      </c>
      <c r="X468" s="8">
        <v>266.947168543338</v>
      </c>
      <c r="Y468" s="18">
        <v>47.6535727090301</v>
      </c>
      <c r="Z468" s="3">
        <v>0.819877079873127</v>
      </c>
    </row>
    <row r="469" spans="2:26">
      <c r="B469" s="1">
        <v>55</v>
      </c>
      <c r="C469" s="1">
        <v>7</v>
      </c>
      <c r="D469" s="1">
        <v>0.126</v>
      </c>
      <c r="E469" s="1">
        <v>1</v>
      </c>
      <c r="F469" s="2">
        <v>0</v>
      </c>
      <c r="G469" s="1">
        <v>20</v>
      </c>
      <c r="H469" s="3">
        <v>0.89760467536325</v>
      </c>
      <c r="I469" s="4">
        <v>20.2</v>
      </c>
      <c r="J469" s="1">
        <v>3.7</v>
      </c>
      <c r="K469" s="7">
        <v>284.406492981528</v>
      </c>
      <c r="L469" s="8">
        <v>46.2097086378683</v>
      </c>
      <c r="M469" s="9">
        <v>0.828604945042369</v>
      </c>
      <c r="O469" s="1">
        <v>55</v>
      </c>
      <c r="P469" s="1">
        <v>7</v>
      </c>
      <c r="Q469" s="1">
        <v>0.126</v>
      </c>
      <c r="R469" s="1">
        <v>1</v>
      </c>
      <c r="S469" s="2">
        <v>0</v>
      </c>
      <c r="T469" s="1">
        <v>20</v>
      </c>
      <c r="U469" s="17">
        <v>0.89760467536325</v>
      </c>
      <c r="V469" s="4">
        <v>20.2</v>
      </c>
      <c r="W469" s="1">
        <v>3.7</v>
      </c>
      <c r="X469" s="8">
        <v>284.406492981528</v>
      </c>
      <c r="Y469" s="18">
        <v>46.2097086378683</v>
      </c>
      <c r="Z469" s="3">
        <v>0.828604945042369</v>
      </c>
    </row>
    <row r="470" spans="2:26">
      <c r="B470" s="1">
        <v>60</v>
      </c>
      <c r="C470" s="1">
        <v>5.8</v>
      </c>
      <c r="D470" s="1">
        <v>0.126</v>
      </c>
      <c r="E470" s="1">
        <v>1</v>
      </c>
      <c r="F470" s="2">
        <v>0</v>
      </c>
      <c r="G470" s="1">
        <v>20</v>
      </c>
      <c r="H470" s="3">
        <v>0.868253123396246</v>
      </c>
      <c r="I470" s="4">
        <v>20.2</v>
      </c>
      <c r="J470" s="1">
        <v>4</v>
      </c>
      <c r="K470" s="7">
        <v>304.378894585246</v>
      </c>
      <c r="L470" s="8">
        <v>44.151577259856</v>
      </c>
      <c r="M470" s="9">
        <v>0.88366672958804</v>
      </c>
      <c r="O470" s="1">
        <v>60</v>
      </c>
      <c r="P470" s="1">
        <v>5.8</v>
      </c>
      <c r="Q470" s="1">
        <v>0.126</v>
      </c>
      <c r="R470" s="1">
        <v>1</v>
      </c>
      <c r="S470" s="2">
        <v>0</v>
      </c>
      <c r="T470" s="1">
        <v>20</v>
      </c>
      <c r="U470" s="17">
        <v>0.868253123396246</v>
      </c>
      <c r="V470" s="4">
        <v>20.2</v>
      </c>
      <c r="W470" s="1">
        <v>4</v>
      </c>
      <c r="X470" s="8">
        <v>304.378894585246</v>
      </c>
      <c r="Y470" s="18">
        <v>44.151577259856</v>
      </c>
      <c r="Z470" s="3">
        <v>0.88366672958804</v>
      </c>
    </row>
    <row r="471" spans="2:26">
      <c r="B471" s="1">
        <v>60</v>
      </c>
      <c r="C471" s="1">
        <v>6.2</v>
      </c>
      <c r="D471" s="1">
        <v>0.174</v>
      </c>
      <c r="E471" s="1">
        <v>1</v>
      </c>
      <c r="F471" s="2">
        <v>0</v>
      </c>
      <c r="G471" s="1">
        <v>20</v>
      </c>
      <c r="H471" s="3">
        <v>0.868253123396246</v>
      </c>
      <c r="I471" s="4">
        <v>20.2</v>
      </c>
      <c r="J471" s="1">
        <v>3.2</v>
      </c>
      <c r="K471" s="7">
        <v>330.851864326758</v>
      </c>
      <c r="L471" s="8">
        <v>47.1412901024373</v>
      </c>
      <c r="M471" s="9">
        <v>0.913258027137993</v>
      </c>
      <c r="O471" s="1">
        <v>60</v>
      </c>
      <c r="P471" s="1">
        <v>6.2</v>
      </c>
      <c r="Q471" s="1">
        <v>0.174</v>
      </c>
      <c r="R471" s="1">
        <v>1</v>
      </c>
      <c r="S471" s="2">
        <v>0</v>
      </c>
      <c r="T471" s="1">
        <v>20</v>
      </c>
      <c r="U471" s="17">
        <v>0.868253123396246</v>
      </c>
      <c r="V471" s="4">
        <v>20.2</v>
      </c>
      <c r="W471" s="1">
        <v>3.2</v>
      </c>
      <c r="X471" s="8">
        <v>330.851864326758</v>
      </c>
      <c r="Y471" s="18">
        <v>47.1412901024373</v>
      </c>
      <c r="Z471" s="3">
        <v>0.913258027137993</v>
      </c>
    </row>
    <row r="472" spans="2:26">
      <c r="B472" s="1">
        <v>60</v>
      </c>
      <c r="C472" s="1">
        <v>6.6</v>
      </c>
      <c r="D472" s="1">
        <v>0.03</v>
      </c>
      <c r="E472" s="1">
        <v>1</v>
      </c>
      <c r="F472" s="2">
        <v>0</v>
      </c>
      <c r="G472" s="1">
        <v>20</v>
      </c>
      <c r="H472" s="3">
        <v>0.868253123396246</v>
      </c>
      <c r="I472" s="4">
        <v>20.2</v>
      </c>
      <c r="J472" s="1">
        <v>14.1</v>
      </c>
      <c r="K472" s="7">
        <v>300.632125734936</v>
      </c>
      <c r="L472" s="8">
        <v>56.8941137040218</v>
      </c>
      <c r="M472" s="9">
        <v>0.651752030534902</v>
      </c>
      <c r="O472" s="1">
        <v>60</v>
      </c>
      <c r="P472" s="1">
        <v>6.6</v>
      </c>
      <c r="Q472" s="1">
        <v>0.03</v>
      </c>
      <c r="R472" s="1">
        <v>1</v>
      </c>
      <c r="S472" s="2">
        <v>0</v>
      </c>
      <c r="T472" s="1">
        <v>20</v>
      </c>
      <c r="U472" s="17">
        <v>0.868253123396246</v>
      </c>
      <c r="V472" s="4">
        <v>20.2</v>
      </c>
      <c r="W472" s="1">
        <v>14.1</v>
      </c>
      <c r="X472" s="8">
        <v>300.632125734936</v>
      </c>
      <c r="Y472" s="18">
        <v>56.8941137040218</v>
      </c>
      <c r="Z472" s="3">
        <v>0.651752030534902</v>
      </c>
    </row>
    <row r="473" spans="2:26">
      <c r="B473" s="1">
        <v>60</v>
      </c>
      <c r="C473" s="1">
        <v>7</v>
      </c>
      <c r="D473" s="1">
        <v>0.078</v>
      </c>
      <c r="E473" s="1">
        <v>1</v>
      </c>
      <c r="F473" s="2">
        <v>0</v>
      </c>
      <c r="G473" s="1">
        <v>20</v>
      </c>
      <c r="H473" s="3">
        <v>0.868253123396246</v>
      </c>
      <c r="I473" s="4">
        <v>20.2</v>
      </c>
      <c r="J473" s="1">
        <v>7.9</v>
      </c>
      <c r="K473" s="7">
        <v>369.761345476447</v>
      </c>
      <c r="L473" s="8">
        <v>58.8638495589216</v>
      </c>
      <c r="M473" s="9">
        <v>0.895178442425871</v>
      </c>
      <c r="O473" s="1">
        <v>60</v>
      </c>
      <c r="P473" s="1">
        <v>7</v>
      </c>
      <c r="Q473" s="1">
        <v>0.078</v>
      </c>
      <c r="R473" s="1">
        <v>1</v>
      </c>
      <c r="S473" s="2">
        <v>0</v>
      </c>
      <c r="T473" s="1">
        <v>20</v>
      </c>
      <c r="U473" s="17">
        <v>0.868253123396246</v>
      </c>
      <c r="V473" s="4">
        <v>20.2</v>
      </c>
      <c r="W473" s="1">
        <v>7.9</v>
      </c>
      <c r="X473" s="8">
        <v>369.761345476447</v>
      </c>
      <c r="Y473" s="18">
        <v>58.8638495589216</v>
      </c>
      <c r="Z473" s="3">
        <v>0.895178442425871</v>
      </c>
    </row>
    <row r="474" spans="2:26">
      <c r="B474" s="1">
        <v>65</v>
      </c>
      <c r="C474" s="1">
        <v>5.8</v>
      </c>
      <c r="D474" s="1">
        <v>0.174</v>
      </c>
      <c r="E474" s="1">
        <v>1</v>
      </c>
      <c r="F474" s="2">
        <v>0</v>
      </c>
      <c r="G474" s="1">
        <v>20</v>
      </c>
      <c r="H474" s="3">
        <v>0.831152647810126</v>
      </c>
      <c r="I474" s="4">
        <v>20.1</v>
      </c>
      <c r="J474" s="1">
        <v>3.8</v>
      </c>
      <c r="K474" s="7">
        <v>391.559100590248</v>
      </c>
      <c r="L474" s="8">
        <v>57.3622016375713</v>
      </c>
      <c r="M474" s="9">
        <v>0.951837684016864</v>
      </c>
      <c r="O474" s="1">
        <v>65</v>
      </c>
      <c r="P474" s="1">
        <v>5.8</v>
      </c>
      <c r="Q474" s="1">
        <v>0.174</v>
      </c>
      <c r="R474" s="1">
        <v>1</v>
      </c>
      <c r="S474" s="2">
        <v>0</v>
      </c>
      <c r="T474" s="1">
        <v>20</v>
      </c>
      <c r="U474" s="17">
        <v>0.831152647810126</v>
      </c>
      <c r="V474" s="4">
        <v>20.1</v>
      </c>
      <c r="W474" s="1">
        <v>3.8</v>
      </c>
      <c r="X474" s="8">
        <v>391.559100590248</v>
      </c>
      <c r="Y474" s="18">
        <v>57.3622016375713</v>
      </c>
      <c r="Z474" s="3">
        <v>0.951837684016864</v>
      </c>
    </row>
    <row r="475" spans="2:26">
      <c r="B475" s="1">
        <v>65</v>
      </c>
      <c r="C475" s="1">
        <v>6.2</v>
      </c>
      <c r="D475" s="1">
        <v>0.126</v>
      </c>
      <c r="E475" s="1">
        <v>1</v>
      </c>
      <c r="F475" s="2">
        <v>0</v>
      </c>
      <c r="G475" s="1">
        <v>20</v>
      </c>
      <c r="H475" s="3">
        <v>0.831152647810126</v>
      </c>
      <c r="I475" s="4">
        <v>20.2</v>
      </c>
      <c r="J475" s="1">
        <v>5.6</v>
      </c>
      <c r="K475" s="7">
        <v>418.037494853191</v>
      </c>
      <c r="L475" s="8">
        <v>56.3412564173639</v>
      </c>
      <c r="M475" s="9">
        <v>0.950372119898863</v>
      </c>
      <c r="O475" s="1">
        <v>65</v>
      </c>
      <c r="P475" s="1">
        <v>6.2</v>
      </c>
      <c r="Q475" s="1">
        <v>0.126</v>
      </c>
      <c r="R475" s="1">
        <v>1</v>
      </c>
      <c r="S475" s="2">
        <v>0</v>
      </c>
      <c r="T475" s="1">
        <v>20</v>
      </c>
      <c r="U475" s="17">
        <v>0.831152647810126</v>
      </c>
      <c r="V475" s="4">
        <v>20.2</v>
      </c>
      <c r="W475" s="1">
        <v>5.6</v>
      </c>
      <c r="X475" s="8">
        <v>418.037494853191</v>
      </c>
      <c r="Y475" s="18">
        <v>56.3412564173639</v>
      </c>
      <c r="Z475" s="3">
        <v>0.950372119898863</v>
      </c>
    </row>
    <row r="476" spans="2:26">
      <c r="B476" s="1">
        <v>65</v>
      </c>
      <c r="C476" s="1">
        <v>6.6</v>
      </c>
      <c r="D476" s="1">
        <v>0.078</v>
      </c>
      <c r="E476" s="1">
        <v>1</v>
      </c>
      <c r="F476" s="2">
        <v>0</v>
      </c>
      <c r="G476" s="1">
        <v>20</v>
      </c>
      <c r="H476" s="3">
        <v>0.831152647810126</v>
      </c>
      <c r="I476" s="4">
        <v>20.1</v>
      </c>
      <c r="J476" s="1">
        <v>9.1</v>
      </c>
      <c r="K476" s="7">
        <v>432.624544062466</v>
      </c>
      <c r="L476" s="8">
        <v>71.0969180416826</v>
      </c>
      <c r="M476" s="9">
        <v>0.897945757728827</v>
      </c>
      <c r="O476" s="1">
        <v>65</v>
      </c>
      <c r="P476" s="1">
        <v>6.6</v>
      </c>
      <c r="Q476" s="1">
        <v>0.078</v>
      </c>
      <c r="R476" s="1">
        <v>1</v>
      </c>
      <c r="S476" s="2">
        <v>0</v>
      </c>
      <c r="T476" s="1">
        <v>20</v>
      </c>
      <c r="U476" s="17">
        <v>0.831152647810126</v>
      </c>
      <c r="V476" s="4">
        <v>20.1</v>
      </c>
      <c r="W476" s="1">
        <v>9.1</v>
      </c>
      <c r="X476" s="8">
        <v>432.624544062466</v>
      </c>
      <c r="Y476" s="18">
        <v>71.0969180416826</v>
      </c>
      <c r="Z476" s="3">
        <v>0.897945757728827</v>
      </c>
    </row>
    <row r="477" spans="2:26">
      <c r="B477" s="1">
        <v>65</v>
      </c>
      <c r="C477" s="1">
        <v>7</v>
      </c>
      <c r="D477" s="1">
        <v>0.03</v>
      </c>
      <c r="E477" s="1">
        <v>1</v>
      </c>
      <c r="F477" s="2">
        <v>0</v>
      </c>
      <c r="G477" s="1">
        <v>20</v>
      </c>
      <c r="H477" s="3">
        <v>0.831152647810126</v>
      </c>
      <c r="I477" s="4">
        <v>20.2</v>
      </c>
      <c r="J477" s="1">
        <v>18.5</v>
      </c>
      <c r="K477" s="7">
        <v>398.561318113817</v>
      </c>
      <c r="L477" s="8">
        <v>74.0533391723651</v>
      </c>
      <c r="M477" s="9">
        <v>0.662097194803204</v>
      </c>
      <c r="O477" s="1">
        <v>65</v>
      </c>
      <c r="P477" s="1">
        <v>7</v>
      </c>
      <c r="Q477" s="1">
        <v>0.03</v>
      </c>
      <c r="R477" s="1">
        <v>1</v>
      </c>
      <c r="S477" s="2">
        <v>0</v>
      </c>
      <c r="T477" s="1">
        <v>20</v>
      </c>
      <c r="U477" s="17">
        <v>0.831152647810126</v>
      </c>
      <c r="V477" s="4">
        <v>20.2</v>
      </c>
      <c r="W477" s="1">
        <v>18.5</v>
      </c>
      <c r="X477" s="8">
        <v>398.561318113817</v>
      </c>
      <c r="Y477" s="18">
        <v>74.0533391723651</v>
      </c>
      <c r="Z477" s="3">
        <v>0.662097194803204</v>
      </c>
    </row>
    <row r="478" spans="2:26">
      <c r="B478" s="2">
        <v>45</v>
      </c>
      <c r="C478" s="2">
        <v>4.5</v>
      </c>
      <c r="D478" s="2">
        <v>0.0132</v>
      </c>
      <c r="E478" s="2">
        <v>1</v>
      </c>
      <c r="F478" s="2">
        <v>1</v>
      </c>
      <c r="G478" s="2">
        <v>20.9</v>
      </c>
      <c r="H478" s="5">
        <v>0.93913980595102</v>
      </c>
      <c r="I478" s="6">
        <v>21.2</v>
      </c>
      <c r="J478" s="2">
        <v>10.5</v>
      </c>
      <c r="K478" s="6">
        <v>93.4252159541819</v>
      </c>
      <c r="L478" s="10">
        <v>26.7915603977083</v>
      </c>
      <c r="M478" s="11">
        <v>0.583264305877983</v>
      </c>
      <c r="O478" s="2">
        <v>45</v>
      </c>
      <c r="P478" s="2">
        <v>4.5</v>
      </c>
      <c r="Q478" s="2">
        <v>0.0132</v>
      </c>
      <c r="R478" s="2">
        <v>1</v>
      </c>
      <c r="S478" s="2">
        <v>1</v>
      </c>
      <c r="T478" s="2">
        <v>20.9</v>
      </c>
      <c r="U478" s="19">
        <v>0.93913980595102</v>
      </c>
      <c r="V478" s="6">
        <v>21.2</v>
      </c>
      <c r="W478" s="2">
        <v>10.5</v>
      </c>
      <c r="X478" s="10">
        <v>93.4252159541819</v>
      </c>
      <c r="Y478" s="11">
        <v>26.7915603977083</v>
      </c>
      <c r="Z478" s="5">
        <v>0.583264305877983</v>
      </c>
    </row>
    <row r="479" spans="2:26">
      <c r="B479" s="2">
        <v>47.5</v>
      </c>
      <c r="C479" s="2">
        <v>4.5</v>
      </c>
      <c r="D479" s="2">
        <v>0.0132</v>
      </c>
      <c r="E479" s="2">
        <v>1</v>
      </c>
      <c r="F479" s="2">
        <v>1</v>
      </c>
      <c r="G479" s="2">
        <v>20.9</v>
      </c>
      <c r="H479" s="5">
        <v>0.930523923822277</v>
      </c>
      <c r="I479" s="6">
        <v>21.2</v>
      </c>
      <c r="J479" s="2">
        <v>12.3</v>
      </c>
      <c r="K479" s="6">
        <v>109.148352945571</v>
      </c>
      <c r="L479" s="10">
        <v>30.1267568202681</v>
      </c>
      <c r="M479" s="11">
        <v>0.614135232011015</v>
      </c>
      <c r="O479" s="2">
        <v>47.5</v>
      </c>
      <c r="P479" s="2">
        <v>4.5</v>
      </c>
      <c r="Q479" s="2">
        <v>0.0132</v>
      </c>
      <c r="R479" s="2">
        <v>1</v>
      </c>
      <c r="S479" s="2">
        <v>1</v>
      </c>
      <c r="T479" s="2">
        <v>20.9</v>
      </c>
      <c r="U479" s="19">
        <v>0.930523923822277</v>
      </c>
      <c r="V479" s="6">
        <v>21.2</v>
      </c>
      <c r="W479" s="2">
        <v>12.3</v>
      </c>
      <c r="X479" s="10">
        <v>109.148352945571</v>
      </c>
      <c r="Y479" s="11">
        <v>30.1267568202681</v>
      </c>
      <c r="Z479" s="5">
        <v>0.614135232011015</v>
      </c>
    </row>
    <row r="480" spans="2:26">
      <c r="B480" s="2">
        <v>50</v>
      </c>
      <c r="C480" s="2">
        <v>4.5</v>
      </c>
      <c r="D480" s="2">
        <v>0.0132</v>
      </c>
      <c r="E480" s="2">
        <v>1</v>
      </c>
      <c r="F480" s="2">
        <v>1</v>
      </c>
      <c r="G480" s="2">
        <v>20.9</v>
      </c>
      <c r="H480" s="5">
        <v>0.920818198615511</v>
      </c>
      <c r="I480" s="6">
        <v>21.3</v>
      </c>
      <c r="J480" s="2">
        <v>15.1</v>
      </c>
      <c r="K480" s="6">
        <v>129.573855735869</v>
      </c>
      <c r="L480" s="10">
        <v>33.8735409419288</v>
      </c>
      <c r="M480" s="11">
        <v>0.678731527680323</v>
      </c>
      <c r="O480" s="2">
        <v>50</v>
      </c>
      <c r="P480" s="2">
        <v>4.5</v>
      </c>
      <c r="Q480" s="2">
        <v>0.0132</v>
      </c>
      <c r="R480" s="2">
        <v>1</v>
      </c>
      <c r="S480" s="2">
        <v>1</v>
      </c>
      <c r="T480" s="2">
        <v>20.9</v>
      </c>
      <c r="U480" s="19">
        <v>0.920818198615511</v>
      </c>
      <c r="V480" s="6">
        <v>21.3</v>
      </c>
      <c r="W480" s="2">
        <v>15.1</v>
      </c>
      <c r="X480" s="10">
        <v>129.573855735869</v>
      </c>
      <c r="Y480" s="11">
        <v>33.8735409419288</v>
      </c>
      <c r="Z480" s="5">
        <v>0.678731527680323</v>
      </c>
    </row>
    <row r="481" spans="2:26">
      <c r="B481" s="2">
        <v>52.5</v>
      </c>
      <c r="C481" s="2">
        <v>4.5</v>
      </c>
      <c r="D481" s="2">
        <v>0.0132</v>
      </c>
      <c r="E481" s="2">
        <v>1</v>
      </c>
      <c r="F481" s="2">
        <v>1</v>
      </c>
      <c r="G481" s="2">
        <v>20.9</v>
      </c>
      <c r="H481" s="5">
        <v>0.909893599259399</v>
      </c>
      <c r="I481" s="6">
        <v>21.3</v>
      </c>
      <c r="J481" s="2">
        <v>18</v>
      </c>
      <c r="K481" s="6">
        <v>151.420606082112</v>
      </c>
      <c r="L481" s="10">
        <v>40.4517915076827</v>
      </c>
      <c r="M481" s="11">
        <v>0.729222099708773</v>
      </c>
      <c r="O481" s="2">
        <v>52.5</v>
      </c>
      <c r="P481" s="2">
        <v>4.5</v>
      </c>
      <c r="Q481" s="2">
        <v>0.0132</v>
      </c>
      <c r="R481" s="2">
        <v>1</v>
      </c>
      <c r="S481" s="2">
        <v>1</v>
      </c>
      <c r="T481" s="2">
        <v>20.9</v>
      </c>
      <c r="U481" s="19">
        <v>0.909893599259399</v>
      </c>
      <c r="V481" s="6">
        <v>21.3</v>
      </c>
      <c r="W481" s="2">
        <v>18</v>
      </c>
      <c r="X481" s="10">
        <v>151.420606082112</v>
      </c>
      <c r="Y481" s="11">
        <v>40.4517915076827</v>
      </c>
      <c r="Z481" s="5">
        <v>0.729222099708773</v>
      </c>
    </row>
    <row r="482" spans="2:26">
      <c r="B482" s="2">
        <v>55</v>
      </c>
      <c r="C482" s="2">
        <v>4.5</v>
      </c>
      <c r="D482" s="2">
        <v>0.0132</v>
      </c>
      <c r="E482" s="2">
        <v>1</v>
      </c>
      <c r="F482" s="2">
        <v>1</v>
      </c>
      <c r="G482" s="2">
        <v>20.9</v>
      </c>
      <c r="H482" s="5">
        <v>0.89760467536325</v>
      </c>
      <c r="I482" s="6">
        <v>21.3</v>
      </c>
      <c r="J482" s="2">
        <v>21.2</v>
      </c>
      <c r="K482" s="6">
        <v>175.43811938396</v>
      </c>
      <c r="L482" s="10">
        <v>48.7509978522071</v>
      </c>
      <c r="M482" s="11">
        <v>0.775065437055854</v>
      </c>
      <c r="O482" s="2">
        <v>55</v>
      </c>
      <c r="P482" s="2">
        <v>4.5</v>
      </c>
      <c r="Q482" s="2">
        <v>0.0132</v>
      </c>
      <c r="R482" s="2">
        <v>1</v>
      </c>
      <c r="S482" s="2">
        <v>1</v>
      </c>
      <c r="T482" s="2">
        <v>20.9</v>
      </c>
      <c r="U482" s="19">
        <v>0.89760467536325</v>
      </c>
      <c r="V482" s="6">
        <v>21.3</v>
      </c>
      <c r="W482" s="2">
        <v>21.2</v>
      </c>
      <c r="X482" s="10">
        <v>175.43811938396</v>
      </c>
      <c r="Y482" s="11">
        <v>48.7509978522071</v>
      </c>
      <c r="Z482" s="5">
        <v>0.775065437055854</v>
      </c>
    </row>
    <row r="483" spans="2:26">
      <c r="B483" s="2">
        <v>57.5</v>
      </c>
      <c r="C483" s="2">
        <v>4.5</v>
      </c>
      <c r="D483" s="2">
        <v>0.0132</v>
      </c>
      <c r="E483" s="2">
        <v>1</v>
      </c>
      <c r="F483" s="2">
        <v>1</v>
      </c>
      <c r="G483" s="2">
        <v>20.9</v>
      </c>
      <c r="H483" s="5">
        <v>0.883786850160418</v>
      </c>
      <c r="I483" s="6">
        <v>21.3</v>
      </c>
      <c r="J483" s="2">
        <v>24.5</v>
      </c>
      <c r="K483" s="6">
        <v>200.904856995525</v>
      </c>
      <c r="L483" s="10">
        <v>58.545670373428</v>
      </c>
      <c r="M483" s="11">
        <v>0.80930788365195</v>
      </c>
      <c r="O483" s="2">
        <v>57.5</v>
      </c>
      <c r="P483" s="2">
        <v>4.5</v>
      </c>
      <c r="Q483" s="2">
        <v>0.0132</v>
      </c>
      <c r="R483" s="2">
        <v>1</v>
      </c>
      <c r="S483" s="2">
        <v>1</v>
      </c>
      <c r="T483" s="2">
        <v>20.9</v>
      </c>
      <c r="U483" s="19">
        <v>0.883786850160418</v>
      </c>
      <c r="V483" s="6">
        <v>21.3</v>
      </c>
      <c r="W483" s="2">
        <v>24.5</v>
      </c>
      <c r="X483" s="10">
        <v>200.904856995525</v>
      </c>
      <c r="Y483" s="11">
        <v>58.545670373428</v>
      </c>
      <c r="Z483" s="5">
        <v>0.80930788365195</v>
      </c>
    </row>
    <row r="484" spans="2:26">
      <c r="B484" s="2">
        <v>60</v>
      </c>
      <c r="C484" s="2">
        <v>4.5</v>
      </c>
      <c r="D484" s="2">
        <v>0.0132</v>
      </c>
      <c r="E484" s="2">
        <v>1</v>
      </c>
      <c r="F484" s="2">
        <v>1</v>
      </c>
      <c r="G484" s="2">
        <v>20.9</v>
      </c>
      <c r="H484" s="5">
        <v>0.868253123396246</v>
      </c>
      <c r="I484" s="6">
        <v>21.4</v>
      </c>
      <c r="J484" s="2">
        <v>28.1</v>
      </c>
      <c r="K484" s="6">
        <v>228.584141295631</v>
      </c>
      <c r="L484" s="10">
        <v>67.2917414199288</v>
      </c>
      <c r="M484" s="11">
        <v>0.83981679484378</v>
      </c>
      <c r="O484" s="2">
        <v>60</v>
      </c>
      <c r="P484" s="2">
        <v>4.5</v>
      </c>
      <c r="Q484" s="2">
        <v>0.0132</v>
      </c>
      <c r="R484" s="2">
        <v>1</v>
      </c>
      <c r="S484" s="2">
        <v>1</v>
      </c>
      <c r="T484" s="2">
        <v>20.9</v>
      </c>
      <c r="U484" s="19">
        <v>0.868253123396246</v>
      </c>
      <c r="V484" s="6">
        <v>21.4</v>
      </c>
      <c r="W484" s="2">
        <v>28.1</v>
      </c>
      <c r="X484" s="10">
        <v>228.584141295631</v>
      </c>
      <c r="Y484" s="11">
        <v>67.2917414199288</v>
      </c>
      <c r="Z484" s="5">
        <v>0.83981679484378</v>
      </c>
    </row>
    <row r="485" spans="2:26">
      <c r="B485" s="2">
        <v>62.5</v>
      </c>
      <c r="C485" s="2">
        <v>4.5</v>
      </c>
      <c r="D485" s="2">
        <v>0.0132</v>
      </c>
      <c r="E485" s="2">
        <v>1</v>
      </c>
      <c r="F485" s="2">
        <v>1</v>
      </c>
      <c r="G485" s="2">
        <v>20.9</v>
      </c>
      <c r="H485" s="5">
        <v>0.850790029374404</v>
      </c>
      <c r="I485" s="6">
        <v>21.3</v>
      </c>
      <c r="J485" s="2">
        <v>30.6</v>
      </c>
      <c r="K485" s="6">
        <v>253.322725113024</v>
      </c>
      <c r="L485" s="10">
        <v>79.2036443618008</v>
      </c>
      <c r="M485" s="11">
        <v>0.828129376421185</v>
      </c>
      <c r="O485" s="2">
        <v>62.5</v>
      </c>
      <c r="P485" s="2">
        <v>4.5</v>
      </c>
      <c r="Q485" s="2">
        <v>0.0132</v>
      </c>
      <c r="R485" s="2">
        <v>1</v>
      </c>
      <c r="S485" s="2">
        <v>1</v>
      </c>
      <c r="T485" s="2">
        <v>20.9</v>
      </c>
      <c r="U485" s="19">
        <v>0.850790029374404</v>
      </c>
      <c r="V485" s="6">
        <v>21.3</v>
      </c>
      <c r="W485" s="2">
        <v>30.6</v>
      </c>
      <c r="X485" s="10">
        <v>253.322725113024</v>
      </c>
      <c r="Y485" s="11">
        <v>79.2036443618008</v>
      </c>
      <c r="Z485" s="5">
        <v>0.828129376421185</v>
      </c>
    </row>
    <row r="486" spans="2:26">
      <c r="B486" s="2">
        <v>65</v>
      </c>
      <c r="C486" s="2">
        <v>4.5</v>
      </c>
      <c r="D486" s="2">
        <v>0.0132</v>
      </c>
      <c r="E486" s="2">
        <v>1</v>
      </c>
      <c r="F486" s="2">
        <v>1</v>
      </c>
      <c r="G486" s="2">
        <v>20.9</v>
      </c>
      <c r="H486" s="5">
        <v>0.831152647810126</v>
      </c>
      <c r="I486" s="6">
        <v>21.3</v>
      </c>
      <c r="J486" s="2">
        <v>33.6</v>
      </c>
      <c r="K486" s="6">
        <v>281.260207845151</v>
      </c>
      <c r="L486" s="10">
        <v>90.9964767569558</v>
      </c>
      <c r="M486" s="11">
        <v>0.824485752443105</v>
      </c>
      <c r="O486" s="2">
        <v>65</v>
      </c>
      <c r="P486" s="2">
        <v>4.5</v>
      </c>
      <c r="Q486" s="2">
        <v>0.0132</v>
      </c>
      <c r="R486" s="2">
        <v>1</v>
      </c>
      <c r="S486" s="2">
        <v>1</v>
      </c>
      <c r="T486" s="2">
        <v>20.9</v>
      </c>
      <c r="U486" s="19">
        <v>0.831152647810126</v>
      </c>
      <c r="V486" s="6">
        <v>21.3</v>
      </c>
      <c r="W486" s="2">
        <v>33.6</v>
      </c>
      <c r="X486" s="10">
        <v>281.260207845151</v>
      </c>
      <c r="Y486" s="11">
        <v>90.9964767569558</v>
      </c>
      <c r="Z486" s="5">
        <v>0.824485752443105</v>
      </c>
    </row>
    <row r="487" spans="2:26">
      <c r="B487" s="2">
        <v>67.5</v>
      </c>
      <c r="C487" s="2">
        <v>4.5</v>
      </c>
      <c r="D487" s="2">
        <v>0.0132</v>
      </c>
      <c r="E487" s="2">
        <v>1</v>
      </c>
      <c r="F487" s="2">
        <v>1</v>
      </c>
      <c r="G487" s="2">
        <v>20.9</v>
      </c>
      <c r="H487" s="5">
        <v>0.809058400419842</v>
      </c>
      <c r="I487" s="6">
        <v>21.3</v>
      </c>
      <c r="J487" s="2">
        <v>37.1</v>
      </c>
      <c r="K487" s="6">
        <v>312.619807376079</v>
      </c>
      <c r="L487" s="10">
        <v>108.818575882054</v>
      </c>
      <c r="M487" s="11">
        <v>0.826379476486049</v>
      </c>
      <c r="O487" s="2">
        <v>67.5</v>
      </c>
      <c r="P487" s="2">
        <v>4.5</v>
      </c>
      <c r="Q487" s="2">
        <v>0.0132</v>
      </c>
      <c r="R487" s="2">
        <v>1</v>
      </c>
      <c r="S487" s="2">
        <v>1</v>
      </c>
      <c r="T487" s="2">
        <v>20.9</v>
      </c>
      <c r="U487" s="19">
        <v>0.809058400419842</v>
      </c>
      <c r="V487" s="6">
        <v>21.3</v>
      </c>
      <c r="W487" s="2">
        <v>37.1</v>
      </c>
      <c r="X487" s="10">
        <v>312.619807376079</v>
      </c>
      <c r="Y487" s="11">
        <v>108.818575882054</v>
      </c>
      <c r="Z487" s="5">
        <v>0.826379476486049</v>
      </c>
    </row>
    <row r="488" spans="2:26">
      <c r="B488" s="2">
        <v>70</v>
      </c>
      <c r="C488" s="2">
        <v>4.5</v>
      </c>
      <c r="D488" s="2">
        <v>0.0132</v>
      </c>
      <c r="E488" s="2">
        <v>1</v>
      </c>
      <c r="F488" s="2">
        <v>1</v>
      </c>
      <c r="G488" s="2">
        <v>20.9</v>
      </c>
      <c r="H488" s="5">
        <v>0.784179277129304</v>
      </c>
      <c r="I488" s="6">
        <v>21.4</v>
      </c>
      <c r="J488" s="2">
        <v>39.7</v>
      </c>
      <c r="K488" s="6">
        <v>341.773134865269</v>
      </c>
      <c r="L488" s="10">
        <v>112.664433668519</v>
      </c>
      <c r="M488" s="11">
        <v>0.803743177107316</v>
      </c>
      <c r="O488" s="2">
        <v>70</v>
      </c>
      <c r="P488" s="2">
        <v>4.5</v>
      </c>
      <c r="Q488" s="2">
        <v>0.0132</v>
      </c>
      <c r="R488" s="2">
        <v>1</v>
      </c>
      <c r="S488" s="2">
        <v>1</v>
      </c>
      <c r="T488" s="2">
        <v>20.9</v>
      </c>
      <c r="U488" s="19">
        <v>0.784179277129304</v>
      </c>
      <c r="V488" s="6">
        <v>21.4</v>
      </c>
      <c r="W488" s="2">
        <v>39.7</v>
      </c>
      <c r="X488" s="10">
        <v>341.773134865269</v>
      </c>
      <c r="Y488" s="11">
        <v>112.664433668519</v>
      </c>
      <c r="Z488" s="5">
        <v>0.803743177107316</v>
      </c>
    </row>
    <row r="489" spans="2:26">
      <c r="B489" s="2">
        <v>45</v>
      </c>
      <c r="C489" s="2">
        <v>6</v>
      </c>
      <c r="D489" s="2">
        <v>0.0138</v>
      </c>
      <c r="E489" s="2">
        <v>1</v>
      </c>
      <c r="F489" s="2">
        <v>1</v>
      </c>
      <c r="G489" s="2">
        <v>20.9</v>
      </c>
      <c r="H489" s="5">
        <v>0.93913980595102</v>
      </c>
      <c r="I489" s="6">
        <v>21.7</v>
      </c>
      <c r="J489" s="2">
        <v>13.1</v>
      </c>
      <c r="K489" s="6">
        <v>122.475987802807</v>
      </c>
      <c r="L489" s="10">
        <v>31.4719920639898</v>
      </c>
      <c r="M489" s="11">
        <v>0.57104207758783</v>
      </c>
      <c r="O489" s="2">
        <v>45</v>
      </c>
      <c r="P489" s="2">
        <v>6</v>
      </c>
      <c r="Q489" s="2">
        <v>0.0138</v>
      </c>
      <c r="R489" s="2">
        <v>1</v>
      </c>
      <c r="S489" s="2">
        <v>1</v>
      </c>
      <c r="T489" s="2">
        <v>20.9</v>
      </c>
      <c r="U489" s="19">
        <v>0.93913980595102</v>
      </c>
      <c r="V489" s="6">
        <v>21.7</v>
      </c>
      <c r="W489" s="2">
        <v>13.1</v>
      </c>
      <c r="X489" s="10">
        <v>122.475987802807</v>
      </c>
      <c r="Y489" s="11">
        <v>31.4719920639898</v>
      </c>
      <c r="Z489" s="5">
        <v>0.57104207758783</v>
      </c>
    </row>
    <row r="490" spans="2:26">
      <c r="B490" s="2">
        <v>47.5</v>
      </c>
      <c r="C490" s="2">
        <v>6</v>
      </c>
      <c r="D490" s="2">
        <v>0.0138</v>
      </c>
      <c r="E490" s="2">
        <v>1</v>
      </c>
      <c r="F490" s="2">
        <v>1</v>
      </c>
      <c r="G490" s="2">
        <v>20.9</v>
      </c>
      <c r="H490" s="5">
        <v>0.930523923822277</v>
      </c>
      <c r="I490" s="6">
        <v>21.7</v>
      </c>
      <c r="J490" s="2">
        <v>15.1</v>
      </c>
      <c r="K490" s="6">
        <v>142.206379680888</v>
      </c>
      <c r="L490" s="10">
        <v>35.4252118136201</v>
      </c>
      <c r="M490" s="11">
        <v>0.591636724386701</v>
      </c>
      <c r="O490" s="2">
        <v>47.5</v>
      </c>
      <c r="P490" s="2">
        <v>6</v>
      </c>
      <c r="Q490" s="2">
        <v>0.0138</v>
      </c>
      <c r="R490" s="2">
        <v>1</v>
      </c>
      <c r="S490" s="2">
        <v>1</v>
      </c>
      <c r="T490" s="2">
        <v>20.9</v>
      </c>
      <c r="U490" s="19">
        <v>0.930523923822277</v>
      </c>
      <c r="V490" s="6">
        <v>21.7</v>
      </c>
      <c r="W490" s="2">
        <v>15.1</v>
      </c>
      <c r="X490" s="10">
        <v>142.206379680888</v>
      </c>
      <c r="Y490" s="11">
        <v>35.4252118136201</v>
      </c>
      <c r="Z490" s="5">
        <v>0.591636724386701</v>
      </c>
    </row>
    <row r="491" spans="2:26">
      <c r="B491" s="2">
        <v>50</v>
      </c>
      <c r="C491" s="2">
        <v>6</v>
      </c>
      <c r="D491" s="2">
        <v>0.0138</v>
      </c>
      <c r="E491" s="2">
        <v>1</v>
      </c>
      <c r="F491" s="2">
        <v>1</v>
      </c>
      <c r="G491" s="2">
        <v>20.9</v>
      </c>
      <c r="H491" s="5">
        <v>0.920818198615511</v>
      </c>
      <c r="I491" s="6">
        <v>21.7</v>
      </c>
      <c r="J491" s="2">
        <v>18</v>
      </c>
      <c r="K491" s="6">
        <v>166.803534195881</v>
      </c>
      <c r="L491" s="10">
        <v>42.5930178325445</v>
      </c>
      <c r="M491" s="11">
        <v>0.634806141595022</v>
      </c>
      <c r="O491" s="2">
        <v>50</v>
      </c>
      <c r="P491" s="2">
        <v>6</v>
      </c>
      <c r="Q491" s="2">
        <v>0.0138</v>
      </c>
      <c r="R491" s="2">
        <v>1</v>
      </c>
      <c r="S491" s="2">
        <v>1</v>
      </c>
      <c r="T491" s="2">
        <v>20.9</v>
      </c>
      <c r="U491" s="19">
        <v>0.920818198615511</v>
      </c>
      <c r="V491" s="6">
        <v>21.7</v>
      </c>
      <c r="W491" s="2">
        <v>18</v>
      </c>
      <c r="X491" s="10">
        <v>166.803534195881</v>
      </c>
      <c r="Y491" s="11">
        <v>42.5930178325445</v>
      </c>
      <c r="Z491" s="5">
        <v>0.634806141595022</v>
      </c>
    </row>
    <row r="492" spans="2:26">
      <c r="B492" s="2">
        <v>52.5</v>
      </c>
      <c r="C492" s="2">
        <v>6</v>
      </c>
      <c r="D492" s="2">
        <v>0.0138</v>
      </c>
      <c r="E492" s="2">
        <v>1</v>
      </c>
      <c r="F492" s="2">
        <v>1</v>
      </c>
      <c r="G492" s="2">
        <v>20.9</v>
      </c>
      <c r="H492" s="5">
        <v>0.909893599259399</v>
      </c>
      <c r="I492" s="6">
        <v>21.8</v>
      </c>
      <c r="J492" s="2">
        <v>20.2</v>
      </c>
      <c r="K492" s="6">
        <v>189.482884993347</v>
      </c>
      <c r="L492" s="10">
        <v>45.8182946676998</v>
      </c>
      <c r="M492" s="11">
        <v>0.642177464574108</v>
      </c>
      <c r="O492" s="2">
        <v>52.5</v>
      </c>
      <c r="P492" s="2">
        <v>6</v>
      </c>
      <c r="Q492" s="2">
        <v>0.0138</v>
      </c>
      <c r="R492" s="2">
        <v>1</v>
      </c>
      <c r="S492" s="2">
        <v>1</v>
      </c>
      <c r="T492" s="2">
        <v>20.9</v>
      </c>
      <c r="U492" s="19">
        <v>0.909893599259399</v>
      </c>
      <c r="V492" s="6">
        <v>21.8</v>
      </c>
      <c r="W492" s="2">
        <v>20.2</v>
      </c>
      <c r="X492" s="10">
        <v>189.482884993347</v>
      </c>
      <c r="Y492" s="11">
        <v>45.8182946676998</v>
      </c>
      <c r="Z492" s="5">
        <v>0.642177464574108</v>
      </c>
    </row>
    <row r="493" spans="2:26">
      <c r="B493" s="2">
        <v>55</v>
      </c>
      <c r="C493" s="2">
        <v>6</v>
      </c>
      <c r="D493" s="2">
        <v>0.0138</v>
      </c>
      <c r="E493" s="2">
        <v>1</v>
      </c>
      <c r="F493" s="2">
        <v>1</v>
      </c>
      <c r="G493" s="2">
        <v>20.9</v>
      </c>
      <c r="H493" s="5">
        <v>0.89760467536325</v>
      </c>
      <c r="I493" s="6">
        <v>21.8</v>
      </c>
      <c r="J493" s="2">
        <v>23.3</v>
      </c>
      <c r="K493" s="6">
        <v>217.399636837176</v>
      </c>
      <c r="L493" s="10">
        <v>54.567454872545</v>
      </c>
      <c r="M493" s="11">
        <v>0.668456885744614</v>
      </c>
      <c r="O493" s="2">
        <v>55</v>
      </c>
      <c r="P493" s="2">
        <v>6</v>
      </c>
      <c r="Q493" s="2">
        <v>0.0138</v>
      </c>
      <c r="R493" s="2">
        <v>1</v>
      </c>
      <c r="S493" s="2">
        <v>1</v>
      </c>
      <c r="T493" s="2">
        <v>20.9</v>
      </c>
      <c r="U493" s="19">
        <v>0.89760467536325</v>
      </c>
      <c r="V493" s="6">
        <v>21.8</v>
      </c>
      <c r="W493" s="2">
        <v>23.3</v>
      </c>
      <c r="X493" s="10">
        <v>217.399636837176</v>
      </c>
      <c r="Y493" s="11">
        <v>54.567454872545</v>
      </c>
      <c r="Z493" s="5">
        <v>0.668456885744614</v>
      </c>
    </row>
    <row r="494" spans="2:26">
      <c r="B494" s="2">
        <v>57.5</v>
      </c>
      <c r="C494" s="2">
        <v>6</v>
      </c>
      <c r="D494" s="2">
        <v>0.0138</v>
      </c>
      <c r="E494" s="2">
        <v>1</v>
      </c>
      <c r="F494" s="2">
        <v>1</v>
      </c>
      <c r="G494" s="2">
        <v>20.9</v>
      </c>
      <c r="H494" s="5">
        <v>0.883786850160418</v>
      </c>
      <c r="I494" s="6">
        <v>21.8</v>
      </c>
      <c r="J494" s="2">
        <v>25.9</v>
      </c>
      <c r="K494" s="6">
        <v>244.618117762866</v>
      </c>
      <c r="L494" s="10">
        <v>61.7936381330431</v>
      </c>
      <c r="M494" s="11">
        <v>0.671368604393283</v>
      </c>
      <c r="O494" s="2">
        <v>57.5</v>
      </c>
      <c r="P494" s="2">
        <v>6</v>
      </c>
      <c r="Q494" s="2">
        <v>0.0138</v>
      </c>
      <c r="R494" s="2">
        <v>1</v>
      </c>
      <c r="S494" s="2">
        <v>1</v>
      </c>
      <c r="T494" s="2">
        <v>20.9</v>
      </c>
      <c r="U494" s="19">
        <v>0.883786850160418</v>
      </c>
      <c r="V494" s="6">
        <v>21.8</v>
      </c>
      <c r="W494" s="2">
        <v>25.9</v>
      </c>
      <c r="X494" s="10">
        <v>244.618117762866</v>
      </c>
      <c r="Y494" s="11">
        <v>61.7936381330431</v>
      </c>
      <c r="Z494" s="5">
        <v>0.671368604393283</v>
      </c>
    </row>
    <row r="495" spans="2:26">
      <c r="B495" s="2">
        <v>60</v>
      </c>
      <c r="C495" s="2">
        <v>6</v>
      </c>
      <c r="D495" s="2">
        <v>0.0138</v>
      </c>
      <c r="E495" s="2">
        <v>1</v>
      </c>
      <c r="F495" s="2">
        <v>1</v>
      </c>
      <c r="G495" s="2">
        <v>20.9</v>
      </c>
      <c r="H495" s="5">
        <v>0.868253123396246</v>
      </c>
      <c r="I495" s="6">
        <v>21.9</v>
      </c>
      <c r="J495" s="2">
        <v>31.2</v>
      </c>
      <c r="K495" s="6">
        <v>284.500687010627</v>
      </c>
      <c r="L495" s="10">
        <v>85.2208514531509</v>
      </c>
      <c r="M495" s="11">
        <v>0.731720074778279</v>
      </c>
      <c r="O495" s="2">
        <v>60</v>
      </c>
      <c r="P495" s="2">
        <v>6</v>
      </c>
      <c r="Q495" s="2">
        <v>0.0138</v>
      </c>
      <c r="R495" s="2">
        <v>1</v>
      </c>
      <c r="S495" s="2">
        <v>1</v>
      </c>
      <c r="T495" s="2">
        <v>20.9</v>
      </c>
      <c r="U495" s="19">
        <v>0.868253123396246</v>
      </c>
      <c r="V495" s="6">
        <v>21.9</v>
      </c>
      <c r="W495" s="2">
        <v>31.2</v>
      </c>
      <c r="X495" s="10">
        <v>284.500687010627</v>
      </c>
      <c r="Y495" s="11">
        <v>85.2208514531509</v>
      </c>
      <c r="Z495" s="5">
        <v>0.731720074778279</v>
      </c>
    </row>
    <row r="496" spans="2:26">
      <c r="B496" s="2">
        <v>62.5</v>
      </c>
      <c r="C496" s="2">
        <v>6</v>
      </c>
      <c r="D496" s="2">
        <v>0.0138</v>
      </c>
      <c r="E496" s="2">
        <v>1</v>
      </c>
      <c r="F496" s="2">
        <v>1</v>
      </c>
      <c r="G496" s="2">
        <v>20.9</v>
      </c>
      <c r="H496" s="5">
        <v>0.850790029374404</v>
      </c>
      <c r="I496" s="6">
        <v>21.9</v>
      </c>
      <c r="J496" s="2">
        <v>36.7</v>
      </c>
      <c r="K496" s="6">
        <v>327.022752170802</v>
      </c>
      <c r="L496" s="10">
        <v>133.260530929219</v>
      </c>
      <c r="M496" s="11">
        <v>0.779511454689336</v>
      </c>
      <c r="O496" s="2">
        <v>62.5</v>
      </c>
      <c r="P496" s="2">
        <v>6</v>
      </c>
      <c r="Q496" s="2">
        <v>0.0138</v>
      </c>
      <c r="R496" s="2">
        <v>1</v>
      </c>
      <c r="S496" s="2">
        <v>1</v>
      </c>
      <c r="T496" s="2">
        <v>20.9</v>
      </c>
      <c r="U496" s="19">
        <v>0.850790029374404</v>
      </c>
      <c r="V496" s="6">
        <v>21.9</v>
      </c>
      <c r="W496" s="2">
        <v>36.7</v>
      </c>
      <c r="X496" s="10">
        <v>327.022752170802</v>
      </c>
      <c r="Y496" s="11">
        <v>133.260530929219</v>
      </c>
      <c r="Z496" s="5">
        <v>0.779511454689336</v>
      </c>
    </row>
    <row r="497" spans="2:26">
      <c r="B497" s="2">
        <v>65</v>
      </c>
      <c r="C497" s="2">
        <v>6</v>
      </c>
      <c r="D497" s="2">
        <v>0.0138</v>
      </c>
      <c r="E497" s="2">
        <v>1</v>
      </c>
      <c r="F497" s="2">
        <v>1</v>
      </c>
      <c r="G497" s="2">
        <v>20.9</v>
      </c>
      <c r="H497" s="5">
        <v>0.831152647810126</v>
      </c>
      <c r="I497" s="6">
        <v>22</v>
      </c>
      <c r="J497" s="2">
        <v>39.1</v>
      </c>
      <c r="K497" s="6">
        <v>358.140387919349</v>
      </c>
      <c r="L497" s="10">
        <v>139.043665006018</v>
      </c>
      <c r="M497" s="11">
        <v>0.753125308055874</v>
      </c>
      <c r="O497" s="2">
        <v>65</v>
      </c>
      <c r="P497" s="2">
        <v>6</v>
      </c>
      <c r="Q497" s="2">
        <v>0.0138</v>
      </c>
      <c r="R497" s="2">
        <v>1</v>
      </c>
      <c r="S497" s="2">
        <v>1</v>
      </c>
      <c r="T497" s="2">
        <v>20.9</v>
      </c>
      <c r="U497" s="19">
        <v>0.831152647810126</v>
      </c>
      <c r="V497" s="6">
        <v>22</v>
      </c>
      <c r="W497" s="2">
        <v>39.1</v>
      </c>
      <c r="X497" s="10">
        <v>358.140387919349</v>
      </c>
      <c r="Y497" s="11">
        <v>139.043665006018</v>
      </c>
      <c r="Z497" s="5">
        <v>0.753125308055874</v>
      </c>
    </row>
    <row r="498" spans="2:26">
      <c r="B498" s="2">
        <v>67.5</v>
      </c>
      <c r="C498" s="2">
        <v>6</v>
      </c>
      <c r="D498" s="2">
        <v>0.0138</v>
      </c>
      <c r="E498" s="2">
        <v>1</v>
      </c>
      <c r="F498" s="2">
        <v>1</v>
      </c>
      <c r="G498" s="2">
        <v>20.9</v>
      </c>
      <c r="H498" s="5">
        <v>0.809058400419842</v>
      </c>
      <c r="I498" s="6">
        <v>22.1</v>
      </c>
      <c r="J498" s="2">
        <v>40.8</v>
      </c>
      <c r="K498" s="6">
        <v>388.216956869976</v>
      </c>
      <c r="L498" s="10">
        <v>132.967376393832</v>
      </c>
      <c r="M498" s="11">
        <v>0.713475032105164</v>
      </c>
      <c r="O498" s="2">
        <v>67.5</v>
      </c>
      <c r="P498" s="2">
        <v>6</v>
      </c>
      <c r="Q498" s="2">
        <v>0.0138</v>
      </c>
      <c r="R498" s="2">
        <v>1</v>
      </c>
      <c r="S498" s="2">
        <v>1</v>
      </c>
      <c r="T498" s="2">
        <v>20.9</v>
      </c>
      <c r="U498" s="19">
        <v>0.809058400419842</v>
      </c>
      <c r="V498" s="6">
        <v>22.1</v>
      </c>
      <c r="W498" s="2">
        <v>40.8</v>
      </c>
      <c r="X498" s="10">
        <v>388.216956869976</v>
      </c>
      <c r="Y498" s="11">
        <v>132.967376393832</v>
      </c>
      <c r="Z498" s="5">
        <v>0.713475032105164</v>
      </c>
    </row>
    <row r="499" spans="2:26">
      <c r="B499" s="2">
        <v>70</v>
      </c>
      <c r="C499" s="2">
        <v>6</v>
      </c>
      <c r="D499" s="2">
        <v>0.0138</v>
      </c>
      <c r="E499" s="2">
        <v>1</v>
      </c>
      <c r="F499" s="2">
        <v>1</v>
      </c>
      <c r="G499" s="2">
        <v>20.9</v>
      </c>
      <c r="H499" s="5">
        <v>0.784179277129304</v>
      </c>
      <c r="I499" s="6">
        <v>22.2</v>
      </c>
      <c r="J499" s="2">
        <v>43.6</v>
      </c>
      <c r="K499" s="6">
        <v>424.939014252316</v>
      </c>
      <c r="L499" s="10">
        <v>145.934562368206</v>
      </c>
      <c r="M499" s="11">
        <v>0.692985358133841</v>
      </c>
      <c r="O499" s="2">
        <v>70</v>
      </c>
      <c r="P499" s="2">
        <v>6</v>
      </c>
      <c r="Q499" s="2">
        <v>0.0138</v>
      </c>
      <c r="R499" s="2">
        <v>1</v>
      </c>
      <c r="S499" s="2">
        <v>1</v>
      </c>
      <c r="T499" s="2">
        <v>20.9</v>
      </c>
      <c r="U499" s="19">
        <v>0.784179277129304</v>
      </c>
      <c r="V499" s="6">
        <v>22.2</v>
      </c>
      <c r="W499" s="2">
        <v>43.6</v>
      </c>
      <c r="X499" s="10">
        <v>424.939014252316</v>
      </c>
      <c r="Y499" s="11">
        <v>145.934562368206</v>
      </c>
      <c r="Z499" s="5">
        <v>0.692985358133841</v>
      </c>
    </row>
    <row r="500" spans="2:26">
      <c r="B500" s="2">
        <v>45</v>
      </c>
      <c r="C500" s="2">
        <v>6.7</v>
      </c>
      <c r="D500" s="2">
        <v>0.0132</v>
      </c>
      <c r="E500" s="2">
        <v>1</v>
      </c>
      <c r="F500" s="2">
        <v>1</v>
      </c>
      <c r="G500" s="2">
        <v>23</v>
      </c>
      <c r="H500" s="5">
        <v>0.93913980595102</v>
      </c>
      <c r="I500" s="6">
        <v>23.1</v>
      </c>
      <c r="J500" s="2">
        <v>14.2</v>
      </c>
      <c r="K500" s="6">
        <v>129.567202819187</v>
      </c>
      <c r="L500" s="10">
        <v>73.3099449573805</v>
      </c>
      <c r="M500" s="11">
        <v>0.531431074460585</v>
      </c>
      <c r="O500" s="2">
        <v>45</v>
      </c>
      <c r="P500" s="2">
        <v>6.7</v>
      </c>
      <c r="Q500" s="2">
        <v>0.0132</v>
      </c>
      <c r="R500" s="2">
        <v>1</v>
      </c>
      <c r="S500" s="2">
        <v>1</v>
      </c>
      <c r="T500" s="2">
        <v>23</v>
      </c>
      <c r="U500" s="19">
        <v>0.93913980595102</v>
      </c>
      <c r="V500" s="6">
        <v>23.1</v>
      </c>
      <c r="W500" s="2">
        <v>14.2</v>
      </c>
      <c r="X500" s="10">
        <v>129.567202819187</v>
      </c>
      <c r="Y500" s="11">
        <v>73.3099449573805</v>
      </c>
      <c r="Z500" s="5">
        <v>0.531431074460585</v>
      </c>
    </row>
    <row r="501" spans="2:26">
      <c r="B501" s="2">
        <v>47.5</v>
      </c>
      <c r="C501" s="2">
        <v>6.7</v>
      </c>
      <c r="D501" s="2">
        <v>0.0132</v>
      </c>
      <c r="E501" s="2">
        <v>1</v>
      </c>
      <c r="F501" s="2">
        <v>1</v>
      </c>
      <c r="G501" s="2">
        <v>23</v>
      </c>
      <c r="H501" s="5">
        <v>0.930523923822277</v>
      </c>
      <c r="I501" s="6">
        <v>23.1</v>
      </c>
      <c r="J501" s="2">
        <v>16.1</v>
      </c>
      <c r="K501" s="6">
        <v>149.875434403748</v>
      </c>
      <c r="L501" s="10">
        <v>80.008505119285</v>
      </c>
      <c r="M501" s="11">
        <v>0.54157900627456</v>
      </c>
      <c r="O501" s="2">
        <v>47.5</v>
      </c>
      <c r="P501" s="2">
        <v>6.7</v>
      </c>
      <c r="Q501" s="2">
        <v>0.0132</v>
      </c>
      <c r="R501" s="2">
        <v>1</v>
      </c>
      <c r="S501" s="2">
        <v>1</v>
      </c>
      <c r="T501" s="2">
        <v>23</v>
      </c>
      <c r="U501" s="19">
        <v>0.930523923822277</v>
      </c>
      <c r="V501" s="6">
        <v>23.1</v>
      </c>
      <c r="W501" s="2">
        <v>16.1</v>
      </c>
      <c r="X501" s="10">
        <v>149.875434403748</v>
      </c>
      <c r="Y501" s="11">
        <v>80.008505119285</v>
      </c>
      <c r="Z501" s="5">
        <v>0.54157900627456</v>
      </c>
    </row>
    <row r="502" spans="2:26">
      <c r="B502" s="2">
        <v>50</v>
      </c>
      <c r="C502" s="2">
        <v>6.7</v>
      </c>
      <c r="D502" s="2">
        <v>0.0132</v>
      </c>
      <c r="E502" s="2">
        <v>1</v>
      </c>
      <c r="F502" s="2">
        <v>1</v>
      </c>
      <c r="G502" s="2">
        <v>23</v>
      </c>
      <c r="H502" s="5">
        <v>0.920818198615511</v>
      </c>
      <c r="I502" s="6">
        <v>23.1</v>
      </c>
      <c r="J502" s="2">
        <v>18.7</v>
      </c>
      <c r="K502" s="6">
        <v>174.213164610511</v>
      </c>
      <c r="L502" s="10">
        <v>93.8805129504486</v>
      </c>
      <c r="M502" s="11">
        <v>0.566192359524464</v>
      </c>
      <c r="O502" s="2">
        <v>50</v>
      </c>
      <c r="P502" s="2">
        <v>6.7</v>
      </c>
      <c r="Q502" s="2">
        <v>0.0132</v>
      </c>
      <c r="R502" s="2">
        <v>1</v>
      </c>
      <c r="S502" s="2">
        <v>1</v>
      </c>
      <c r="T502" s="2">
        <v>23</v>
      </c>
      <c r="U502" s="19">
        <v>0.920818198615511</v>
      </c>
      <c r="V502" s="6">
        <v>23.1</v>
      </c>
      <c r="W502" s="2">
        <v>18.7</v>
      </c>
      <c r="X502" s="10">
        <v>174.213164610511</v>
      </c>
      <c r="Y502" s="11">
        <v>93.8805129504486</v>
      </c>
      <c r="Z502" s="5">
        <v>0.566192359524464</v>
      </c>
    </row>
    <row r="503" spans="2:26">
      <c r="B503" s="2">
        <v>52.5</v>
      </c>
      <c r="C503" s="2">
        <v>6.7</v>
      </c>
      <c r="D503" s="2">
        <v>0.0132</v>
      </c>
      <c r="E503" s="2">
        <v>1</v>
      </c>
      <c r="F503" s="2">
        <v>1</v>
      </c>
      <c r="G503" s="2">
        <v>23</v>
      </c>
      <c r="H503" s="5">
        <v>0.909893599259399</v>
      </c>
      <c r="I503" s="6">
        <v>23.1</v>
      </c>
      <c r="J503" s="2">
        <v>21.4</v>
      </c>
      <c r="K503" s="6">
        <v>200.281169910829</v>
      </c>
      <c r="L503" s="10">
        <v>110.015677226431</v>
      </c>
      <c r="M503" s="11">
        <v>0.583979129688085</v>
      </c>
      <c r="O503" s="2">
        <v>52.5</v>
      </c>
      <c r="P503" s="2">
        <v>6.7</v>
      </c>
      <c r="Q503" s="2">
        <v>0.0132</v>
      </c>
      <c r="R503" s="2">
        <v>1</v>
      </c>
      <c r="S503" s="2">
        <v>1</v>
      </c>
      <c r="T503" s="2">
        <v>23</v>
      </c>
      <c r="U503" s="19">
        <v>0.909893599259399</v>
      </c>
      <c r="V503" s="6">
        <v>23.1</v>
      </c>
      <c r="W503" s="2">
        <v>21.4</v>
      </c>
      <c r="X503" s="10">
        <v>200.281169910829</v>
      </c>
      <c r="Y503" s="11">
        <v>110.015677226431</v>
      </c>
      <c r="Z503" s="5">
        <v>0.583979129688085</v>
      </c>
    </row>
    <row r="504" spans="2:26">
      <c r="B504" s="2">
        <v>55</v>
      </c>
      <c r="C504" s="2">
        <v>6.7</v>
      </c>
      <c r="D504" s="2">
        <v>0.0132</v>
      </c>
      <c r="E504" s="2">
        <v>1</v>
      </c>
      <c r="F504" s="2">
        <v>1</v>
      </c>
      <c r="G504" s="2">
        <v>23</v>
      </c>
      <c r="H504" s="5">
        <v>0.89760467536325</v>
      </c>
      <c r="I504" s="6">
        <v>23.1</v>
      </c>
      <c r="J504" s="2">
        <v>24.2</v>
      </c>
      <c r="K504" s="6">
        <v>228.192933636147</v>
      </c>
      <c r="L504" s="10">
        <v>129.113008852051</v>
      </c>
      <c r="M504" s="11">
        <v>0.595948961114641</v>
      </c>
      <c r="O504" s="2">
        <v>55</v>
      </c>
      <c r="P504" s="2">
        <v>6.7</v>
      </c>
      <c r="Q504" s="2">
        <v>0.0132</v>
      </c>
      <c r="R504" s="2">
        <v>1</v>
      </c>
      <c r="S504" s="2">
        <v>1</v>
      </c>
      <c r="T504" s="2">
        <v>23</v>
      </c>
      <c r="U504" s="19">
        <v>0.89760467536325</v>
      </c>
      <c r="V504" s="6">
        <v>23.1</v>
      </c>
      <c r="W504" s="2">
        <v>24.2</v>
      </c>
      <c r="X504" s="10">
        <v>228.192933636147</v>
      </c>
      <c r="Y504" s="11">
        <v>129.113008852051</v>
      </c>
      <c r="Z504" s="5">
        <v>0.595948961114641</v>
      </c>
    </row>
    <row r="505" spans="2:26">
      <c r="B505" s="2">
        <v>57.5</v>
      </c>
      <c r="C505" s="2">
        <v>6.7</v>
      </c>
      <c r="D505" s="2">
        <v>0.0132</v>
      </c>
      <c r="E505" s="2">
        <v>1</v>
      </c>
      <c r="F505" s="2">
        <v>1</v>
      </c>
      <c r="G505" s="2">
        <v>23</v>
      </c>
      <c r="H505" s="5">
        <v>0.883786850160418</v>
      </c>
      <c r="I505" s="6">
        <v>23.1</v>
      </c>
      <c r="J505" s="2">
        <v>27.3</v>
      </c>
      <c r="K505" s="6">
        <v>258.870651788354</v>
      </c>
      <c r="L505" s="10">
        <v>155.930048691669</v>
      </c>
      <c r="M505" s="11">
        <v>0.607430395953873</v>
      </c>
      <c r="O505" s="2">
        <v>57.5</v>
      </c>
      <c r="P505" s="2">
        <v>6.7</v>
      </c>
      <c r="Q505" s="2">
        <v>0.0132</v>
      </c>
      <c r="R505" s="2">
        <v>1</v>
      </c>
      <c r="S505" s="2">
        <v>1</v>
      </c>
      <c r="T505" s="2">
        <v>23</v>
      </c>
      <c r="U505" s="19">
        <v>0.883786850160418</v>
      </c>
      <c r="V505" s="6">
        <v>23.1</v>
      </c>
      <c r="W505" s="2">
        <v>27.3</v>
      </c>
      <c r="X505" s="10">
        <v>258.870651788354</v>
      </c>
      <c r="Y505" s="11">
        <v>155.930048691669</v>
      </c>
      <c r="Z505" s="5">
        <v>0.607430395953873</v>
      </c>
    </row>
    <row r="506" spans="2:26">
      <c r="B506" s="2">
        <v>60</v>
      </c>
      <c r="C506" s="2">
        <v>6.7</v>
      </c>
      <c r="D506" s="2">
        <v>0.0132</v>
      </c>
      <c r="E506" s="2">
        <v>1</v>
      </c>
      <c r="F506" s="2">
        <v>1</v>
      </c>
      <c r="G506" s="2">
        <v>23</v>
      </c>
      <c r="H506" s="5">
        <v>0.868253123396246</v>
      </c>
      <c r="I506" s="6">
        <v>23.2</v>
      </c>
      <c r="J506" s="2">
        <v>30.5</v>
      </c>
      <c r="K506" s="6">
        <v>291.443605607848</v>
      </c>
      <c r="L506" s="10">
        <v>161.045264067077</v>
      </c>
      <c r="M506" s="11">
        <v>0.613986891181269</v>
      </c>
      <c r="O506" s="2">
        <v>60</v>
      </c>
      <c r="P506" s="2">
        <v>6.7</v>
      </c>
      <c r="Q506" s="2">
        <v>0.0132</v>
      </c>
      <c r="R506" s="2">
        <v>1</v>
      </c>
      <c r="S506" s="2">
        <v>1</v>
      </c>
      <c r="T506" s="2">
        <v>23</v>
      </c>
      <c r="U506" s="19">
        <v>0.868253123396246</v>
      </c>
      <c r="V506" s="6">
        <v>23.2</v>
      </c>
      <c r="W506" s="2">
        <v>30.5</v>
      </c>
      <c r="X506" s="10">
        <v>291.443605607848</v>
      </c>
      <c r="Y506" s="11">
        <v>161.045264067077</v>
      </c>
      <c r="Z506" s="5">
        <v>0.613986891181269</v>
      </c>
    </row>
    <row r="507" spans="2:26">
      <c r="B507" s="2">
        <v>45</v>
      </c>
      <c r="C507" s="2">
        <v>5.5</v>
      </c>
      <c r="D507" s="2">
        <v>0.063</v>
      </c>
      <c r="E507" s="2">
        <v>1</v>
      </c>
      <c r="F507" s="2">
        <v>1</v>
      </c>
      <c r="G507" s="2">
        <v>20</v>
      </c>
      <c r="H507" s="5">
        <v>0.93913980595102</v>
      </c>
      <c r="I507" s="6">
        <v>20.1</v>
      </c>
      <c r="J507" s="2">
        <v>2.5</v>
      </c>
      <c r="K507" s="6">
        <v>112.276084005364</v>
      </c>
      <c r="L507" s="10">
        <v>27.1472564169368</v>
      </c>
      <c r="M507" s="11">
        <v>0.541317518177506</v>
      </c>
      <c r="O507" s="2">
        <v>45</v>
      </c>
      <c r="P507" s="2">
        <v>5.5</v>
      </c>
      <c r="Q507" s="2">
        <v>0.063</v>
      </c>
      <c r="R507" s="2">
        <v>1</v>
      </c>
      <c r="S507" s="2">
        <v>1</v>
      </c>
      <c r="T507" s="2">
        <v>20</v>
      </c>
      <c r="U507" s="19">
        <v>0.93913980595102</v>
      </c>
      <c r="V507" s="6">
        <v>20.1</v>
      </c>
      <c r="W507" s="2">
        <v>2.5</v>
      </c>
      <c r="X507" s="10">
        <v>112.276084005364</v>
      </c>
      <c r="Y507" s="11">
        <v>27.1472564169368</v>
      </c>
      <c r="Z507" s="5">
        <v>0.541317518177506</v>
      </c>
    </row>
    <row r="508" spans="2:26">
      <c r="B508" s="2">
        <v>47.5</v>
      </c>
      <c r="C508" s="2">
        <v>5.5</v>
      </c>
      <c r="D508" s="2">
        <v>0.063</v>
      </c>
      <c r="E508" s="2">
        <v>1</v>
      </c>
      <c r="F508" s="2">
        <v>1</v>
      </c>
      <c r="G508" s="2">
        <v>20</v>
      </c>
      <c r="H508" s="5">
        <v>0.930523923822277</v>
      </c>
      <c r="I508" s="6">
        <v>20.1</v>
      </c>
      <c r="J508" s="2">
        <v>3.2</v>
      </c>
      <c r="K508" s="6">
        <v>136.058006949933</v>
      </c>
      <c r="L508" s="10">
        <v>30.8832641336543</v>
      </c>
      <c r="M508" s="11">
        <v>0.622799173081746</v>
      </c>
      <c r="O508" s="2">
        <v>47.5</v>
      </c>
      <c r="P508" s="2">
        <v>5.5</v>
      </c>
      <c r="Q508" s="2">
        <v>0.063</v>
      </c>
      <c r="R508" s="2">
        <v>1</v>
      </c>
      <c r="S508" s="2">
        <v>1</v>
      </c>
      <c r="T508" s="2">
        <v>20</v>
      </c>
      <c r="U508" s="19">
        <v>0.930523923822277</v>
      </c>
      <c r="V508" s="6">
        <v>20.1</v>
      </c>
      <c r="W508" s="2">
        <v>3.2</v>
      </c>
      <c r="X508" s="10">
        <v>136.058006949933</v>
      </c>
      <c r="Y508" s="11">
        <v>30.8832641336543</v>
      </c>
      <c r="Z508" s="5">
        <v>0.622799173081746</v>
      </c>
    </row>
    <row r="509" spans="2:26">
      <c r="B509" s="2">
        <v>50</v>
      </c>
      <c r="C509" s="2">
        <v>5.5</v>
      </c>
      <c r="D509" s="2">
        <v>0.063</v>
      </c>
      <c r="E509" s="2">
        <v>1</v>
      </c>
      <c r="F509" s="2">
        <v>1</v>
      </c>
      <c r="G509" s="2">
        <v>20</v>
      </c>
      <c r="H509" s="5">
        <v>0.920818198615511</v>
      </c>
      <c r="I509" s="6">
        <v>20.1</v>
      </c>
      <c r="J509" s="2">
        <v>4</v>
      </c>
      <c r="K509" s="6">
        <v>162.755175989738</v>
      </c>
      <c r="L509" s="10">
        <v>34.94323233509</v>
      </c>
      <c r="M509" s="11">
        <v>0.700733781810345</v>
      </c>
      <c r="O509" s="2">
        <v>50</v>
      </c>
      <c r="P509" s="2">
        <v>5.5</v>
      </c>
      <c r="Q509" s="2">
        <v>0.063</v>
      </c>
      <c r="R509" s="2">
        <v>1</v>
      </c>
      <c r="S509" s="2">
        <v>1</v>
      </c>
      <c r="T509" s="2">
        <v>20</v>
      </c>
      <c r="U509" s="19">
        <v>0.920818198615511</v>
      </c>
      <c r="V509" s="6">
        <v>20.1</v>
      </c>
      <c r="W509" s="2">
        <v>4</v>
      </c>
      <c r="X509" s="10">
        <v>162.755175989738</v>
      </c>
      <c r="Y509" s="11">
        <v>34.94323233509</v>
      </c>
      <c r="Z509" s="5">
        <v>0.700733781810345</v>
      </c>
    </row>
    <row r="510" spans="2:26">
      <c r="B510" s="2">
        <v>52.5</v>
      </c>
      <c r="C510" s="2">
        <v>5.5</v>
      </c>
      <c r="D510" s="2">
        <v>0.063</v>
      </c>
      <c r="E510" s="2">
        <v>1</v>
      </c>
      <c r="F510" s="2">
        <v>1</v>
      </c>
      <c r="G510" s="2">
        <v>20</v>
      </c>
      <c r="H510" s="5">
        <v>0.909893599259399</v>
      </c>
      <c r="I510" s="6">
        <v>20.2</v>
      </c>
      <c r="J510" s="2">
        <v>4.6</v>
      </c>
      <c r="K510" s="6">
        <v>186.563683670206</v>
      </c>
      <c r="L510" s="10">
        <v>33.2586109102086</v>
      </c>
      <c r="M510" s="11">
        <v>0.726424850853512</v>
      </c>
      <c r="O510" s="2">
        <v>52.5</v>
      </c>
      <c r="P510" s="2">
        <v>5.5</v>
      </c>
      <c r="Q510" s="2">
        <v>0.063</v>
      </c>
      <c r="R510" s="2">
        <v>1</v>
      </c>
      <c r="S510" s="2">
        <v>1</v>
      </c>
      <c r="T510" s="2">
        <v>20</v>
      </c>
      <c r="U510" s="19">
        <v>0.909893599259399</v>
      </c>
      <c r="V510" s="6">
        <v>20.2</v>
      </c>
      <c r="W510" s="2">
        <v>4.6</v>
      </c>
      <c r="X510" s="10">
        <v>186.563683670206</v>
      </c>
      <c r="Y510" s="11">
        <v>33.2586109102086</v>
      </c>
      <c r="Z510" s="5">
        <v>0.726424850853512</v>
      </c>
    </row>
    <row r="511" spans="2:26">
      <c r="B511" s="2">
        <v>55</v>
      </c>
      <c r="C511" s="2">
        <v>5.5</v>
      </c>
      <c r="D511" s="2">
        <v>0.063</v>
      </c>
      <c r="E511" s="2">
        <v>1</v>
      </c>
      <c r="F511" s="2">
        <v>1</v>
      </c>
      <c r="G511" s="2">
        <v>20</v>
      </c>
      <c r="H511" s="5">
        <v>0.89760467536325</v>
      </c>
      <c r="I511" s="6">
        <v>20.2</v>
      </c>
      <c r="J511" s="2">
        <v>5.2</v>
      </c>
      <c r="K511" s="6">
        <v>211.704431985486</v>
      </c>
      <c r="L511" s="10">
        <v>35.7891084589884</v>
      </c>
      <c r="M511" s="11">
        <v>0.741061916450669</v>
      </c>
      <c r="O511" s="2">
        <v>55</v>
      </c>
      <c r="P511" s="2">
        <v>5.5</v>
      </c>
      <c r="Q511" s="2">
        <v>0.063</v>
      </c>
      <c r="R511" s="2">
        <v>1</v>
      </c>
      <c r="S511" s="2">
        <v>1</v>
      </c>
      <c r="T511" s="2">
        <v>20</v>
      </c>
      <c r="U511" s="19">
        <v>0.89760467536325</v>
      </c>
      <c r="V511" s="6">
        <v>20.2</v>
      </c>
      <c r="W511" s="2">
        <v>5.2</v>
      </c>
      <c r="X511" s="10">
        <v>211.704431985486</v>
      </c>
      <c r="Y511" s="11">
        <v>35.7891084589884</v>
      </c>
      <c r="Z511" s="5">
        <v>0.741061916450669</v>
      </c>
    </row>
    <row r="512" spans="2:26">
      <c r="B512" s="2">
        <v>57.5</v>
      </c>
      <c r="C512" s="2">
        <v>5.5</v>
      </c>
      <c r="D512" s="2">
        <v>0.063</v>
      </c>
      <c r="E512" s="2">
        <v>1</v>
      </c>
      <c r="F512" s="2">
        <v>1</v>
      </c>
      <c r="G512" s="2">
        <v>20</v>
      </c>
      <c r="H512" s="5">
        <v>0.883786850160418</v>
      </c>
      <c r="I512" s="6">
        <v>20.2</v>
      </c>
      <c r="J512" s="2">
        <v>6.1</v>
      </c>
      <c r="K512" s="6">
        <v>243.867556532276</v>
      </c>
      <c r="L512" s="10">
        <v>39.5209714672072</v>
      </c>
      <c r="M512" s="11">
        <v>0.785469337816217</v>
      </c>
      <c r="O512" s="2">
        <v>57.5</v>
      </c>
      <c r="P512" s="2">
        <v>5.5</v>
      </c>
      <c r="Q512" s="2">
        <v>0.063</v>
      </c>
      <c r="R512" s="2">
        <v>1</v>
      </c>
      <c r="S512" s="2">
        <v>1</v>
      </c>
      <c r="T512" s="2">
        <v>20</v>
      </c>
      <c r="U512" s="19">
        <v>0.883786850160418</v>
      </c>
      <c r="V512" s="6">
        <v>20.2</v>
      </c>
      <c r="W512" s="2">
        <v>6.1</v>
      </c>
      <c r="X512" s="10">
        <v>243.867556532276</v>
      </c>
      <c r="Y512" s="11">
        <v>39.5209714672072</v>
      </c>
      <c r="Z512" s="5">
        <v>0.785469337816217</v>
      </c>
    </row>
    <row r="513" spans="2:26">
      <c r="B513" s="2">
        <v>60</v>
      </c>
      <c r="C513" s="2">
        <v>5.5</v>
      </c>
      <c r="D513" s="2">
        <v>0.063</v>
      </c>
      <c r="E513" s="2">
        <v>1</v>
      </c>
      <c r="F513" s="2">
        <v>1</v>
      </c>
      <c r="G513" s="2">
        <v>20</v>
      </c>
      <c r="H513" s="5">
        <v>0.868253123396246</v>
      </c>
      <c r="I513" s="6">
        <v>20.2</v>
      </c>
      <c r="J513" s="2">
        <v>7</v>
      </c>
      <c r="K513" s="6">
        <v>277.414792279113</v>
      </c>
      <c r="L513" s="10">
        <v>43.184902531421</v>
      </c>
      <c r="M513" s="11">
        <v>0.815383391392601</v>
      </c>
      <c r="O513" s="2">
        <v>60</v>
      </c>
      <c r="P513" s="2">
        <v>5.5</v>
      </c>
      <c r="Q513" s="2">
        <v>0.063</v>
      </c>
      <c r="R513" s="2">
        <v>1</v>
      </c>
      <c r="S513" s="2">
        <v>1</v>
      </c>
      <c r="T513" s="2">
        <v>20</v>
      </c>
      <c r="U513" s="19">
        <v>0.868253123396246</v>
      </c>
      <c r="V513" s="6">
        <v>20.2</v>
      </c>
      <c r="W513" s="2">
        <v>7</v>
      </c>
      <c r="X513" s="10">
        <v>277.414792279113</v>
      </c>
      <c r="Y513" s="11">
        <v>43.184902531421</v>
      </c>
      <c r="Z513" s="5">
        <v>0.815383391392601</v>
      </c>
    </row>
    <row r="514" spans="2:26">
      <c r="B514" s="2">
        <v>62.5</v>
      </c>
      <c r="C514" s="2">
        <v>5.7</v>
      </c>
      <c r="D514" s="2">
        <v>0.063</v>
      </c>
      <c r="E514" s="2">
        <v>1</v>
      </c>
      <c r="F514" s="2">
        <v>1</v>
      </c>
      <c r="G514" s="2">
        <v>20</v>
      </c>
      <c r="H514" s="5">
        <v>0.850790029374404</v>
      </c>
      <c r="I514" s="6">
        <v>20.2</v>
      </c>
      <c r="J514" s="2">
        <v>8.1</v>
      </c>
      <c r="K514" s="6">
        <v>322.147321611364</v>
      </c>
      <c r="L514" s="10">
        <v>48.4868876817177</v>
      </c>
      <c r="M514" s="11">
        <v>0.824531788398358</v>
      </c>
      <c r="O514" s="2">
        <v>62.5</v>
      </c>
      <c r="P514" s="2">
        <v>5.7</v>
      </c>
      <c r="Q514" s="2">
        <v>0.063</v>
      </c>
      <c r="R514" s="2">
        <v>1</v>
      </c>
      <c r="S514" s="2">
        <v>1</v>
      </c>
      <c r="T514" s="2">
        <v>20</v>
      </c>
      <c r="U514" s="19">
        <v>0.850790029374404</v>
      </c>
      <c r="V514" s="6">
        <v>20.2</v>
      </c>
      <c r="W514" s="2">
        <v>8.1</v>
      </c>
      <c r="X514" s="10">
        <v>322.147321611364</v>
      </c>
      <c r="Y514" s="11">
        <v>48.4868876817177</v>
      </c>
      <c r="Z514" s="5">
        <v>0.824531788398358</v>
      </c>
    </row>
    <row r="515" spans="2:26">
      <c r="B515" s="2">
        <v>65</v>
      </c>
      <c r="C515" s="2">
        <v>5.7</v>
      </c>
      <c r="D515" s="2">
        <v>0.063</v>
      </c>
      <c r="E515" s="2">
        <v>1</v>
      </c>
      <c r="F515" s="2">
        <v>1</v>
      </c>
      <c r="G515" s="2">
        <v>20</v>
      </c>
      <c r="H515" s="5">
        <v>0.831152647810126</v>
      </c>
      <c r="I515" s="6">
        <v>20.3</v>
      </c>
      <c r="J515" s="2">
        <v>9.1</v>
      </c>
      <c r="K515" s="6">
        <v>361.269244603637</v>
      </c>
      <c r="L515" s="10">
        <v>48.5552978485793</v>
      </c>
      <c r="M515" s="11">
        <v>0.84004517399657</v>
      </c>
      <c r="O515" s="2">
        <v>65</v>
      </c>
      <c r="P515" s="2">
        <v>5.7</v>
      </c>
      <c r="Q515" s="2">
        <v>0.063</v>
      </c>
      <c r="R515" s="2">
        <v>1</v>
      </c>
      <c r="S515" s="2">
        <v>1</v>
      </c>
      <c r="T515" s="2">
        <v>20</v>
      </c>
      <c r="U515" s="19">
        <v>0.831152647810126</v>
      </c>
      <c r="V515" s="6">
        <v>20.3</v>
      </c>
      <c r="W515" s="2">
        <v>9.1</v>
      </c>
      <c r="X515" s="10">
        <v>361.269244603637</v>
      </c>
      <c r="Y515" s="11">
        <v>48.5552978485793</v>
      </c>
      <c r="Z515" s="5">
        <v>0.84004517399657</v>
      </c>
    </row>
    <row r="516" spans="2:26">
      <c r="B516" s="2">
        <v>67.5</v>
      </c>
      <c r="C516" s="2">
        <v>5.7</v>
      </c>
      <c r="D516" s="2">
        <v>0.063</v>
      </c>
      <c r="E516" s="2">
        <v>1</v>
      </c>
      <c r="F516" s="2">
        <v>1</v>
      </c>
      <c r="G516" s="2">
        <v>20</v>
      </c>
      <c r="H516" s="5">
        <v>0.809058400419842</v>
      </c>
      <c r="I516" s="6">
        <v>20.3</v>
      </c>
      <c r="J516" s="2">
        <v>10.3</v>
      </c>
      <c r="K516" s="6">
        <v>406.162895088737</v>
      </c>
      <c r="L516" s="10">
        <v>53.0574394533607</v>
      </c>
      <c r="M516" s="11">
        <v>0.863103572652896</v>
      </c>
      <c r="O516" s="2">
        <v>67.5</v>
      </c>
      <c r="P516" s="2">
        <v>5.7</v>
      </c>
      <c r="Q516" s="2">
        <v>0.063</v>
      </c>
      <c r="R516" s="2">
        <v>1</v>
      </c>
      <c r="S516" s="2">
        <v>1</v>
      </c>
      <c r="T516" s="2">
        <v>20</v>
      </c>
      <c r="U516" s="19">
        <v>0.809058400419842</v>
      </c>
      <c r="V516" s="6">
        <v>20.3</v>
      </c>
      <c r="W516" s="2">
        <v>10.3</v>
      </c>
      <c r="X516" s="10">
        <v>406.162895088737</v>
      </c>
      <c r="Y516" s="11">
        <v>53.0574394533607</v>
      </c>
      <c r="Z516" s="5">
        <v>0.863103572652896</v>
      </c>
    </row>
    <row r="517" spans="2:26">
      <c r="B517" s="2">
        <v>70</v>
      </c>
      <c r="C517" s="2">
        <v>5.7</v>
      </c>
      <c r="D517" s="2">
        <v>0.063</v>
      </c>
      <c r="E517" s="2">
        <v>1</v>
      </c>
      <c r="F517" s="2">
        <v>1</v>
      </c>
      <c r="G517" s="2">
        <v>20</v>
      </c>
      <c r="H517" s="5">
        <v>0.784179277129304</v>
      </c>
      <c r="I517" s="6">
        <v>20.3</v>
      </c>
      <c r="J517" s="2">
        <v>11.5</v>
      </c>
      <c r="K517" s="6">
        <v>452.982048348475</v>
      </c>
      <c r="L517" s="10">
        <v>57.5670344246308</v>
      </c>
      <c r="M517" s="11">
        <v>0.87574829554703</v>
      </c>
      <c r="O517" s="2">
        <v>70</v>
      </c>
      <c r="P517" s="2">
        <v>5.7</v>
      </c>
      <c r="Q517" s="2">
        <v>0.063</v>
      </c>
      <c r="R517" s="2">
        <v>1</v>
      </c>
      <c r="S517" s="2">
        <v>1</v>
      </c>
      <c r="T517" s="2">
        <v>20</v>
      </c>
      <c r="U517" s="19">
        <v>0.784179277129304</v>
      </c>
      <c r="V517" s="6">
        <v>20.3</v>
      </c>
      <c r="W517" s="2">
        <v>11.5</v>
      </c>
      <c r="X517" s="10">
        <v>452.982048348475</v>
      </c>
      <c r="Y517" s="11">
        <v>57.5670344246308</v>
      </c>
      <c r="Z517" s="5">
        <v>0.87574829554703</v>
      </c>
    </row>
    <row r="518" spans="2:26">
      <c r="B518" s="2">
        <v>45</v>
      </c>
      <c r="C518" s="2">
        <v>8.5</v>
      </c>
      <c r="D518" s="2">
        <v>0.063</v>
      </c>
      <c r="E518" s="2">
        <v>1</v>
      </c>
      <c r="F518" s="2">
        <v>1</v>
      </c>
      <c r="G518" s="2">
        <v>20.1</v>
      </c>
      <c r="H518" s="5">
        <v>0.93913980595102</v>
      </c>
      <c r="I518" s="6">
        <v>20.2</v>
      </c>
      <c r="J518" s="2">
        <v>4.9</v>
      </c>
      <c r="K518" s="6">
        <v>193.118816688582</v>
      </c>
      <c r="L518" s="10">
        <v>51.4173256416245</v>
      </c>
      <c r="M518" s="11">
        <v>0.686630240911944</v>
      </c>
      <c r="O518" s="2">
        <v>45</v>
      </c>
      <c r="P518" s="2">
        <v>8.5</v>
      </c>
      <c r="Q518" s="2">
        <v>0.063</v>
      </c>
      <c r="R518" s="2">
        <v>1</v>
      </c>
      <c r="S518" s="2">
        <v>1</v>
      </c>
      <c r="T518" s="2">
        <v>20.1</v>
      </c>
      <c r="U518" s="19">
        <v>0.93913980595102</v>
      </c>
      <c r="V518" s="6">
        <v>20.2</v>
      </c>
      <c r="W518" s="2">
        <v>4.9</v>
      </c>
      <c r="X518" s="10">
        <v>193.118816688582</v>
      </c>
      <c r="Y518" s="11">
        <v>51.4173256416245</v>
      </c>
      <c r="Z518" s="5">
        <v>0.686630240911944</v>
      </c>
    </row>
    <row r="519" spans="2:26">
      <c r="B519" s="2">
        <v>47.5</v>
      </c>
      <c r="C519" s="2">
        <v>8.5</v>
      </c>
      <c r="D519" s="2">
        <v>0.063</v>
      </c>
      <c r="E519" s="2">
        <v>1</v>
      </c>
      <c r="F519" s="2">
        <v>1</v>
      </c>
      <c r="G519" s="2">
        <v>20.1</v>
      </c>
      <c r="H519" s="5">
        <v>0.930523923822277</v>
      </c>
      <c r="I519" s="6">
        <v>20.2</v>
      </c>
      <c r="J519" s="2">
        <v>5.8</v>
      </c>
      <c r="K519" s="6">
        <v>226.394017960287</v>
      </c>
      <c r="L519" s="10">
        <v>56.6014361102696</v>
      </c>
      <c r="M519" s="11">
        <v>0.730534157481079</v>
      </c>
      <c r="O519" s="2">
        <v>47.5</v>
      </c>
      <c r="P519" s="2">
        <v>8.5</v>
      </c>
      <c r="Q519" s="2">
        <v>0.063</v>
      </c>
      <c r="R519" s="2">
        <v>1</v>
      </c>
      <c r="S519" s="2">
        <v>1</v>
      </c>
      <c r="T519" s="2">
        <v>20.1</v>
      </c>
      <c r="U519" s="19">
        <v>0.930523923822277</v>
      </c>
      <c r="V519" s="6">
        <v>20.2</v>
      </c>
      <c r="W519" s="2">
        <v>5.8</v>
      </c>
      <c r="X519" s="10">
        <v>226.394017960287</v>
      </c>
      <c r="Y519" s="11">
        <v>56.6014361102696</v>
      </c>
      <c r="Z519" s="5">
        <v>0.730534157481079</v>
      </c>
    </row>
    <row r="520" spans="2:26">
      <c r="B520" s="2">
        <v>50</v>
      </c>
      <c r="C520" s="2">
        <v>8.5</v>
      </c>
      <c r="D520" s="2">
        <v>0.063</v>
      </c>
      <c r="E520" s="2">
        <v>1</v>
      </c>
      <c r="F520" s="2">
        <v>1</v>
      </c>
      <c r="G520" s="2">
        <v>20.1</v>
      </c>
      <c r="H520" s="5">
        <v>0.920818198615511</v>
      </c>
      <c r="I520" s="6">
        <v>20.2</v>
      </c>
      <c r="J520" s="2">
        <v>6.7</v>
      </c>
      <c r="K520" s="6">
        <v>261.216592715101</v>
      </c>
      <c r="L520" s="10">
        <v>61.5921289021942</v>
      </c>
      <c r="M520" s="11">
        <v>0.759594941849144</v>
      </c>
      <c r="O520" s="2">
        <v>50</v>
      </c>
      <c r="P520" s="2">
        <v>8.5</v>
      </c>
      <c r="Q520" s="2">
        <v>0.063</v>
      </c>
      <c r="R520" s="2">
        <v>1</v>
      </c>
      <c r="S520" s="2">
        <v>1</v>
      </c>
      <c r="T520" s="2">
        <v>20.1</v>
      </c>
      <c r="U520" s="19">
        <v>0.920818198615511</v>
      </c>
      <c r="V520" s="6">
        <v>20.2</v>
      </c>
      <c r="W520" s="2">
        <v>6.7</v>
      </c>
      <c r="X520" s="10">
        <v>261.216592715101</v>
      </c>
      <c r="Y520" s="11">
        <v>61.5921289021942</v>
      </c>
      <c r="Z520" s="5">
        <v>0.759594941849144</v>
      </c>
    </row>
    <row r="521" spans="2:26">
      <c r="B521" s="2">
        <v>52.5</v>
      </c>
      <c r="C521" s="2">
        <v>8.5</v>
      </c>
      <c r="D521" s="2">
        <v>0.063</v>
      </c>
      <c r="E521" s="2">
        <v>1</v>
      </c>
      <c r="F521" s="2">
        <v>1</v>
      </c>
      <c r="G521" s="2">
        <v>20.1</v>
      </c>
      <c r="H521" s="5">
        <v>0.909893599259399</v>
      </c>
      <c r="I521" s="6">
        <v>20.4</v>
      </c>
      <c r="J521" s="2">
        <v>7.6</v>
      </c>
      <c r="K521" s="6">
        <v>297.258024801482</v>
      </c>
      <c r="L521" s="10">
        <v>53.564882449657</v>
      </c>
      <c r="M521" s="11">
        <v>0.776838037391884</v>
      </c>
      <c r="O521" s="2">
        <v>52.5</v>
      </c>
      <c r="P521" s="2">
        <v>8.5</v>
      </c>
      <c r="Q521" s="2">
        <v>0.063</v>
      </c>
      <c r="R521" s="2">
        <v>1</v>
      </c>
      <c r="S521" s="2">
        <v>1</v>
      </c>
      <c r="T521" s="2">
        <v>20.1</v>
      </c>
      <c r="U521" s="19">
        <v>0.909893599259399</v>
      </c>
      <c r="V521" s="6">
        <v>20.4</v>
      </c>
      <c r="W521" s="2">
        <v>7.6</v>
      </c>
      <c r="X521" s="10">
        <v>297.258024801482</v>
      </c>
      <c r="Y521" s="11">
        <v>53.564882449657</v>
      </c>
      <c r="Z521" s="5">
        <v>0.776838037391884</v>
      </c>
    </row>
    <row r="522" spans="2:26">
      <c r="B522" s="2">
        <v>55</v>
      </c>
      <c r="C522" s="2">
        <v>8.5</v>
      </c>
      <c r="D522" s="2">
        <v>0.063</v>
      </c>
      <c r="E522" s="2">
        <v>1</v>
      </c>
      <c r="F522" s="2">
        <v>1</v>
      </c>
      <c r="G522" s="2">
        <v>20.1</v>
      </c>
      <c r="H522" s="5">
        <v>0.89760467536325</v>
      </c>
      <c r="I522" s="6">
        <v>20.4</v>
      </c>
      <c r="J522" s="2">
        <v>8.8</v>
      </c>
      <c r="K522" s="6">
        <v>341.335601679466</v>
      </c>
      <c r="L522" s="10">
        <v>59.0842416560534</v>
      </c>
      <c r="M522" s="11">
        <v>0.811740638234354</v>
      </c>
      <c r="O522" s="2">
        <v>55</v>
      </c>
      <c r="P522" s="2">
        <v>8.5</v>
      </c>
      <c r="Q522" s="2">
        <v>0.063</v>
      </c>
      <c r="R522" s="2">
        <v>1</v>
      </c>
      <c r="S522" s="2">
        <v>1</v>
      </c>
      <c r="T522" s="2">
        <v>20.1</v>
      </c>
      <c r="U522" s="19">
        <v>0.89760467536325</v>
      </c>
      <c r="V522" s="6">
        <v>20.4</v>
      </c>
      <c r="W522" s="2">
        <v>8.8</v>
      </c>
      <c r="X522" s="10">
        <v>341.335601679466</v>
      </c>
      <c r="Y522" s="11">
        <v>59.0842416560534</v>
      </c>
      <c r="Z522" s="5">
        <v>0.811740638234354</v>
      </c>
    </row>
    <row r="523" spans="2:26">
      <c r="B523" s="2">
        <v>57.5</v>
      </c>
      <c r="C523" s="2">
        <v>8.5</v>
      </c>
      <c r="D523" s="2">
        <v>0.063</v>
      </c>
      <c r="E523" s="2">
        <v>1</v>
      </c>
      <c r="F523" s="2">
        <v>1</v>
      </c>
      <c r="G523" s="2">
        <v>20.1</v>
      </c>
      <c r="H523" s="5">
        <v>0.883786850160418</v>
      </c>
      <c r="I523" s="6">
        <v>20.4</v>
      </c>
      <c r="J523" s="2">
        <v>10.1</v>
      </c>
      <c r="K523" s="6">
        <v>389.3059589071</v>
      </c>
      <c r="L523" s="10">
        <v>65.040906877028</v>
      </c>
      <c r="M523" s="11">
        <v>0.841789841395322</v>
      </c>
      <c r="O523" s="2">
        <v>57.5</v>
      </c>
      <c r="P523" s="2">
        <v>8.5</v>
      </c>
      <c r="Q523" s="2">
        <v>0.063</v>
      </c>
      <c r="R523" s="2">
        <v>1</v>
      </c>
      <c r="S523" s="2">
        <v>1</v>
      </c>
      <c r="T523" s="2">
        <v>20.1</v>
      </c>
      <c r="U523" s="19">
        <v>0.883786850160418</v>
      </c>
      <c r="V523" s="6">
        <v>20.4</v>
      </c>
      <c r="W523" s="2">
        <v>10.1</v>
      </c>
      <c r="X523" s="10">
        <v>389.3059589071</v>
      </c>
      <c r="Y523" s="11">
        <v>65.040906877028</v>
      </c>
      <c r="Z523" s="5">
        <v>0.841789841395322</v>
      </c>
    </row>
    <row r="524" spans="2:26">
      <c r="B524" s="2">
        <v>60</v>
      </c>
      <c r="C524" s="2">
        <v>8.5</v>
      </c>
      <c r="D524" s="2">
        <v>0.063</v>
      </c>
      <c r="E524" s="2">
        <v>1</v>
      </c>
      <c r="F524" s="2">
        <v>1</v>
      </c>
      <c r="G524" s="2">
        <v>20.1</v>
      </c>
      <c r="H524" s="5">
        <v>0.868253123396246</v>
      </c>
      <c r="I524" s="6">
        <v>20.4</v>
      </c>
      <c r="J524" s="2">
        <v>11.3</v>
      </c>
      <c r="K524" s="6">
        <v>437.501602213985</v>
      </c>
      <c r="L524" s="10">
        <v>70.4544467434133</v>
      </c>
      <c r="M524" s="11">
        <v>0.851970612955873</v>
      </c>
      <c r="O524" s="2">
        <v>60</v>
      </c>
      <c r="P524" s="2">
        <v>8.5</v>
      </c>
      <c r="Q524" s="2">
        <v>0.063</v>
      </c>
      <c r="R524" s="2">
        <v>1</v>
      </c>
      <c r="S524" s="2">
        <v>1</v>
      </c>
      <c r="T524" s="2">
        <v>20.1</v>
      </c>
      <c r="U524" s="19">
        <v>0.868253123396246</v>
      </c>
      <c r="V524" s="6">
        <v>20.4</v>
      </c>
      <c r="W524" s="2">
        <v>11.3</v>
      </c>
      <c r="X524" s="10">
        <v>437.501602213985</v>
      </c>
      <c r="Y524" s="11">
        <v>70.4544467434133</v>
      </c>
      <c r="Z524" s="5">
        <v>0.851970612955873</v>
      </c>
    </row>
    <row r="525" spans="2:26">
      <c r="B525" s="2">
        <v>62.5</v>
      </c>
      <c r="C525" s="2">
        <v>8.5</v>
      </c>
      <c r="D525" s="2">
        <v>0.063</v>
      </c>
      <c r="E525" s="2">
        <v>1</v>
      </c>
      <c r="F525" s="2">
        <v>1</v>
      </c>
      <c r="G525" s="2">
        <v>20.1</v>
      </c>
      <c r="H525" s="5">
        <v>0.850790029374404</v>
      </c>
      <c r="I525" s="6">
        <v>20.4</v>
      </c>
      <c r="J525" s="2">
        <v>12.8</v>
      </c>
      <c r="K525" s="6">
        <v>493.74820325045</v>
      </c>
      <c r="L525" s="10">
        <v>77.3777103352551</v>
      </c>
      <c r="M525" s="11">
        <v>0.874029961772263</v>
      </c>
      <c r="O525" s="2">
        <v>62.5</v>
      </c>
      <c r="P525" s="2">
        <v>8.5</v>
      </c>
      <c r="Q525" s="2">
        <v>0.063</v>
      </c>
      <c r="R525" s="2">
        <v>1</v>
      </c>
      <c r="S525" s="2">
        <v>1</v>
      </c>
      <c r="T525" s="2">
        <v>20.1</v>
      </c>
      <c r="U525" s="19">
        <v>0.850790029374404</v>
      </c>
      <c r="V525" s="6">
        <v>20.4</v>
      </c>
      <c r="W525" s="2">
        <v>12.8</v>
      </c>
      <c r="X525" s="10">
        <v>493.74820325045</v>
      </c>
      <c r="Y525" s="11">
        <v>77.3777103352551</v>
      </c>
      <c r="Z525" s="5">
        <v>0.874029961772263</v>
      </c>
    </row>
    <row r="526" spans="2:26">
      <c r="B526" s="2">
        <v>65</v>
      </c>
      <c r="C526" s="2">
        <v>8.5</v>
      </c>
      <c r="D526" s="2">
        <v>0.063</v>
      </c>
      <c r="E526" s="2">
        <v>1</v>
      </c>
      <c r="F526" s="2">
        <v>1</v>
      </c>
      <c r="G526" s="2">
        <v>20.1</v>
      </c>
      <c r="H526" s="5">
        <v>0.831152647810126</v>
      </c>
      <c r="I526" s="6">
        <v>20.4</v>
      </c>
      <c r="J526" s="2">
        <v>14.3</v>
      </c>
      <c r="K526" s="6">
        <v>552.481970771675</v>
      </c>
      <c r="L526" s="10">
        <v>84.330498173225</v>
      </c>
      <c r="M526" s="11">
        <v>0.88536419706343</v>
      </c>
      <c r="O526" s="2">
        <v>65</v>
      </c>
      <c r="P526" s="2">
        <v>8.5</v>
      </c>
      <c r="Q526" s="2">
        <v>0.063</v>
      </c>
      <c r="R526" s="2">
        <v>1</v>
      </c>
      <c r="S526" s="2">
        <v>1</v>
      </c>
      <c r="T526" s="2">
        <v>20.1</v>
      </c>
      <c r="U526" s="19">
        <v>0.831152647810126</v>
      </c>
      <c r="V526" s="6">
        <v>20.4</v>
      </c>
      <c r="W526" s="2">
        <v>14.3</v>
      </c>
      <c r="X526" s="10">
        <v>552.481970771675</v>
      </c>
      <c r="Y526" s="11">
        <v>84.330498173225</v>
      </c>
      <c r="Z526" s="5">
        <v>0.88536419706343</v>
      </c>
    </row>
    <row r="527" spans="2:26">
      <c r="B527" s="2">
        <v>67.5</v>
      </c>
      <c r="C527" s="2">
        <v>8.5</v>
      </c>
      <c r="D527" s="2">
        <v>0.063</v>
      </c>
      <c r="E527" s="2">
        <v>1</v>
      </c>
      <c r="F527" s="2">
        <v>1</v>
      </c>
      <c r="G527" s="2">
        <v>20.1</v>
      </c>
      <c r="H527" s="5">
        <v>0.809058400419842</v>
      </c>
      <c r="I527" s="6">
        <v>20.4</v>
      </c>
      <c r="J527" s="2">
        <v>15.9</v>
      </c>
      <c r="K527" s="6">
        <v>615.804509115913</v>
      </c>
      <c r="L527" s="10">
        <v>91.8567233613359</v>
      </c>
      <c r="M527" s="11">
        <v>0.893608337957952</v>
      </c>
      <c r="O527" s="2">
        <v>67.5</v>
      </c>
      <c r="P527" s="2">
        <v>8.5</v>
      </c>
      <c r="Q527" s="2">
        <v>0.063</v>
      </c>
      <c r="R527" s="2">
        <v>1</v>
      </c>
      <c r="S527" s="2">
        <v>1</v>
      </c>
      <c r="T527" s="2">
        <v>20.1</v>
      </c>
      <c r="U527" s="19">
        <v>0.809058400419842</v>
      </c>
      <c r="V527" s="6">
        <v>20.4</v>
      </c>
      <c r="W527" s="2">
        <v>15.9</v>
      </c>
      <c r="X527" s="10">
        <v>615.804509115913</v>
      </c>
      <c r="Y527" s="11">
        <v>91.8567233613359</v>
      </c>
      <c r="Z527" s="5">
        <v>0.893608337957952</v>
      </c>
    </row>
    <row r="528" spans="2:26">
      <c r="B528" s="2">
        <v>70</v>
      </c>
      <c r="C528" s="2">
        <v>8.5</v>
      </c>
      <c r="D528" s="2">
        <v>0.063</v>
      </c>
      <c r="E528" s="2">
        <v>1</v>
      </c>
      <c r="F528" s="2">
        <v>1</v>
      </c>
      <c r="G528" s="2">
        <v>20.1</v>
      </c>
      <c r="H528" s="5">
        <v>0.784179277129304</v>
      </c>
      <c r="I528" s="6">
        <v>20.4</v>
      </c>
      <c r="J528" s="2">
        <v>17</v>
      </c>
      <c r="K528" s="6">
        <v>672.428288435259</v>
      </c>
      <c r="L528" s="10">
        <v>96.8924911685902</v>
      </c>
      <c r="M528" s="11">
        <v>0.868269431524452</v>
      </c>
      <c r="O528" s="2">
        <v>70</v>
      </c>
      <c r="P528" s="2">
        <v>8.5</v>
      </c>
      <c r="Q528" s="2">
        <v>0.063</v>
      </c>
      <c r="R528" s="2">
        <v>1</v>
      </c>
      <c r="S528" s="2">
        <v>1</v>
      </c>
      <c r="T528" s="2">
        <v>20.1</v>
      </c>
      <c r="U528" s="19">
        <v>0.784179277129304</v>
      </c>
      <c r="V528" s="6">
        <v>20.4</v>
      </c>
      <c r="W528" s="2">
        <v>17</v>
      </c>
      <c r="X528" s="10">
        <v>672.428288435259</v>
      </c>
      <c r="Y528" s="11">
        <v>96.8924911685902</v>
      </c>
      <c r="Z528" s="5">
        <v>0.868269431524452</v>
      </c>
    </row>
    <row r="529" spans="2:26">
      <c r="B529" s="2">
        <v>45</v>
      </c>
      <c r="C529" s="2">
        <v>10</v>
      </c>
      <c r="D529" s="2">
        <v>0.063</v>
      </c>
      <c r="E529" s="2">
        <v>1</v>
      </c>
      <c r="F529" s="2">
        <v>1</v>
      </c>
      <c r="G529" s="2">
        <v>19.9</v>
      </c>
      <c r="H529" s="5">
        <v>0.93913980595102</v>
      </c>
      <c r="I529" s="6">
        <v>20.3</v>
      </c>
      <c r="J529" s="2">
        <v>5.9</v>
      </c>
      <c r="K529" s="6">
        <v>229.510300905931</v>
      </c>
      <c r="L529" s="10">
        <v>47.2596015362135</v>
      </c>
      <c r="M529" s="11">
        <v>0.702859925966169</v>
      </c>
      <c r="O529" s="2">
        <v>45</v>
      </c>
      <c r="P529" s="2">
        <v>10</v>
      </c>
      <c r="Q529" s="2">
        <v>0.063</v>
      </c>
      <c r="R529" s="2">
        <v>1</v>
      </c>
      <c r="S529" s="2">
        <v>1</v>
      </c>
      <c r="T529" s="2">
        <v>19.9</v>
      </c>
      <c r="U529" s="19">
        <v>0.93913980595102</v>
      </c>
      <c r="V529" s="6">
        <v>20.3</v>
      </c>
      <c r="W529" s="2">
        <v>5.9</v>
      </c>
      <c r="X529" s="10">
        <v>229.510300905931</v>
      </c>
      <c r="Y529" s="11">
        <v>47.2596015362135</v>
      </c>
      <c r="Z529" s="5">
        <v>0.702859925966169</v>
      </c>
    </row>
    <row r="530" spans="2:26">
      <c r="B530" s="2">
        <v>47.5</v>
      </c>
      <c r="C530" s="2">
        <v>10</v>
      </c>
      <c r="D530" s="2">
        <v>0.063</v>
      </c>
      <c r="E530" s="2">
        <v>1</v>
      </c>
      <c r="F530" s="2">
        <v>1</v>
      </c>
      <c r="G530" s="2">
        <v>19.9</v>
      </c>
      <c r="H530" s="5">
        <v>0.930523923822277</v>
      </c>
      <c r="I530" s="6">
        <v>20.3</v>
      </c>
      <c r="J530" s="2">
        <v>6.7</v>
      </c>
      <c r="K530" s="6">
        <v>263.705257647836</v>
      </c>
      <c r="L530" s="10">
        <v>50.8891960331891</v>
      </c>
      <c r="M530" s="11">
        <v>0.717425767542791</v>
      </c>
      <c r="O530" s="2">
        <v>47.5</v>
      </c>
      <c r="P530" s="2">
        <v>10</v>
      </c>
      <c r="Q530" s="2">
        <v>0.063</v>
      </c>
      <c r="R530" s="2">
        <v>1</v>
      </c>
      <c r="S530" s="2">
        <v>1</v>
      </c>
      <c r="T530" s="2">
        <v>19.9</v>
      </c>
      <c r="U530" s="19">
        <v>0.930523923822277</v>
      </c>
      <c r="V530" s="6">
        <v>20.3</v>
      </c>
      <c r="W530" s="2">
        <v>6.7</v>
      </c>
      <c r="X530" s="10">
        <v>263.705257647836</v>
      </c>
      <c r="Y530" s="11">
        <v>50.8891960331891</v>
      </c>
      <c r="Z530" s="5">
        <v>0.717425767542791</v>
      </c>
    </row>
    <row r="531" spans="2:26">
      <c r="B531" s="2">
        <v>50</v>
      </c>
      <c r="C531" s="2">
        <v>10</v>
      </c>
      <c r="D531" s="2">
        <v>0.063</v>
      </c>
      <c r="E531" s="2">
        <v>1</v>
      </c>
      <c r="F531" s="2">
        <v>1</v>
      </c>
      <c r="G531" s="2">
        <v>19.9</v>
      </c>
      <c r="H531" s="5">
        <v>0.920818198615511</v>
      </c>
      <c r="I531" s="6">
        <v>20.3</v>
      </c>
      <c r="J531" s="2">
        <v>7.9</v>
      </c>
      <c r="K531" s="6">
        <v>307.377010873774</v>
      </c>
      <c r="L531" s="10">
        <v>56.6304498827086</v>
      </c>
      <c r="M531" s="11">
        <v>0.761418984588217</v>
      </c>
      <c r="O531" s="2">
        <v>50</v>
      </c>
      <c r="P531" s="2">
        <v>10</v>
      </c>
      <c r="Q531" s="2">
        <v>0.063</v>
      </c>
      <c r="R531" s="2">
        <v>1</v>
      </c>
      <c r="S531" s="2">
        <v>1</v>
      </c>
      <c r="T531" s="2">
        <v>19.9</v>
      </c>
      <c r="U531" s="19">
        <v>0.920818198615511</v>
      </c>
      <c r="V531" s="6">
        <v>20.3</v>
      </c>
      <c r="W531" s="2">
        <v>7.9</v>
      </c>
      <c r="X531" s="10">
        <v>307.377010873774</v>
      </c>
      <c r="Y531" s="11">
        <v>56.6304498827086</v>
      </c>
      <c r="Z531" s="5">
        <v>0.761418984588217</v>
      </c>
    </row>
    <row r="532" spans="2:26">
      <c r="B532" s="2">
        <v>52.5</v>
      </c>
      <c r="C532" s="2">
        <v>10</v>
      </c>
      <c r="D532" s="2">
        <v>0.063</v>
      </c>
      <c r="E532" s="2">
        <v>1</v>
      </c>
      <c r="F532" s="2">
        <v>1</v>
      </c>
      <c r="G532" s="2">
        <v>19.9</v>
      </c>
      <c r="H532" s="5">
        <v>0.909893599259399</v>
      </c>
      <c r="I532" s="6">
        <v>20.4</v>
      </c>
      <c r="J532" s="2">
        <v>9.1</v>
      </c>
      <c r="K532" s="6">
        <v>352.755304913508</v>
      </c>
      <c r="L532" s="10">
        <v>59.050434400141</v>
      </c>
      <c r="M532" s="11">
        <v>0.790637134108714</v>
      </c>
      <c r="O532" s="2">
        <v>52.5</v>
      </c>
      <c r="P532" s="2">
        <v>10</v>
      </c>
      <c r="Q532" s="2">
        <v>0.063</v>
      </c>
      <c r="R532" s="2">
        <v>1</v>
      </c>
      <c r="S532" s="2">
        <v>1</v>
      </c>
      <c r="T532" s="2">
        <v>19.9</v>
      </c>
      <c r="U532" s="19">
        <v>0.909893599259399</v>
      </c>
      <c r="V532" s="6">
        <v>20.4</v>
      </c>
      <c r="W532" s="2">
        <v>9.1</v>
      </c>
      <c r="X532" s="10">
        <v>352.755304913508</v>
      </c>
      <c r="Y532" s="11">
        <v>59.050434400141</v>
      </c>
      <c r="Z532" s="5">
        <v>0.790637134108714</v>
      </c>
    </row>
    <row r="533" spans="2:26">
      <c r="B533" s="2">
        <v>55</v>
      </c>
      <c r="C533" s="2">
        <v>10</v>
      </c>
      <c r="D533" s="2">
        <v>0.063</v>
      </c>
      <c r="E533" s="2">
        <v>1</v>
      </c>
      <c r="F533" s="2">
        <v>1</v>
      </c>
      <c r="G533" s="2">
        <v>19.9</v>
      </c>
      <c r="H533" s="5">
        <v>0.89760467536325</v>
      </c>
      <c r="I533" s="6">
        <v>20.4</v>
      </c>
      <c r="J533" s="2">
        <v>10.4</v>
      </c>
      <c r="K533" s="6">
        <v>402.472031387607</v>
      </c>
      <c r="L533" s="10">
        <v>64.8603706419946</v>
      </c>
      <c r="M533" s="11">
        <v>0.815430368408147</v>
      </c>
      <c r="O533" s="2">
        <v>55</v>
      </c>
      <c r="P533" s="2">
        <v>10</v>
      </c>
      <c r="Q533" s="2">
        <v>0.063</v>
      </c>
      <c r="R533" s="2">
        <v>1</v>
      </c>
      <c r="S533" s="2">
        <v>1</v>
      </c>
      <c r="T533" s="2">
        <v>19.9</v>
      </c>
      <c r="U533" s="19">
        <v>0.89760467536325</v>
      </c>
      <c r="V533" s="6">
        <v>20.4</v>
      </c>
      <c r="W533" s="2">
        <v>10.4</v>
      </c>
      <c r="X533" s="10">
        <v>402.472031387607</v>
      </c>
      <c r="Y533" s="11">
        <v>64.8603706419946</v>
      </c>
      <c r="Z533" s="5">
        <v>0.815430368408147</v>
      </c>
    </row>
    <row r="534" spans="2:26">
      <c r="B534" s="2">
        <v>57.5</v>
      </c>
      <c r="C534" s="2">
        <v>10</v>
      </c>
      <c r="D534" s="2">
        <v>0.063</v>
      </c>
      <c r="E534" s="2">
        <v>1</v>
      </c>
      <c r="F534" s="2">
        <v>1</v>
      </c>
      <c r="G534" s="2">
        <v>19.9</v>
      </c>
      <c r="H534" s="5">
        <v>0.883786850160418</v>
      </c>
      <c r="I534" s="6">
        <v>20.4</v>
      </c>
      <c r="J534" s="2">
        <v>11.5</v>
      </c>
      <c r="K534" s="6">
        <v>450.688536214236</v>
      </c>
      <c r="L534" s="10">
        <v>69.6293101651518</v>
      </c>
      <c r="M534" s="11">
        <v>0.81470254451874</v>
      </c>
      <c r="O534" s="2">
        <v>57.5</v>
      </c>
      <c r="P534" s="2">
        <v>10</v>
      </c>
      <c r="Q534" s="2">
        <v>0.063</v>
      </c>
      <c r="R534" s="2">
        <v>1</v>
      </c>
      <c r="S534" s="2">
        <v>1</v>
      </c>
      <c r="T534" s="2">
        <v>19.9</v>
      </c>
      <c r="U534" s="19">
        <v>0.883786850160418</v>
      </c>
      <c r="V534" s="6">
        <v>20.4</v>
      </c>
      <c r="W534" s="2">
        <v>11.5</v>
      </c>
      <c r="X534" s="10">
        <v>450.688536214236</v>
      </c>
      <c r="Y534" s="11">
        <v>69.6293101651518</v>
      </c>
      <c r="Z534" s="5">
        <v>0.81470254451874</v>
      </c>
    </row>
    <row r="535" spans="2:26">
      <c r="B535" s="2">
        <v>60</v>
      </c>
      <c r="C535" s="2">
        <v>10</v>
      </c>
      <c r="D535" s="2">
        <v>0.063</v>
      </c>
      <c r="E535" s="2">
        <v>1</v>
      </c>
      <c r="F535" s="2">
        <v>1</v>
      </c>
      <c r="G535" s="2">
        <v>19.9</v>
      </c>
      <c r="H535" s="5">
        <v>0.868253123396246</v>
      </c>
      <c r="I535" s="6">
        <v>20.6</v>
      </c>
      <c r="J535" s="2">
        <v>13.2</v>
      </c>
      <c r="K535" s="6">
        <v>512.370422888779</v>
      </c>
      <c r="L535" s="10">
        <v>71.3564057073366</v>
      </c>
      <c r="M535" s="11">
        <v>0.846208864981572</v>
      </c>
      <c r="O535" s="2">
        <v>60</v>
      </c>
      <c r="P535" s="2">
        <v>10</v>
      </c>
      <c r="Q535" s="2">
        <v>0.063</v>
      </c>
      <c r="R535" s="2">
        <v>1</v>
      </c>
      <c r="S535" s="2">
        <v>1</v>
      </c>
      <c r="T535" s="2">
        <v>19.9</v>
      </c>
      <c r="U535" s="19">
        <v>0.868253123396246</v>
      </c>
      <c r="V535" s="6">
        <v>20.6</v>
      </c>
      <c r="W535" s="2">
        <v>13.2</v>
      </c>
      <c r="X535" s="10">
        <v>512.370422888779</v>
      </c>
      <c r="Y535" s="11">
        <v>71.3564057073366</v>
      </c>
      <c r="Z535" s="5">
        <v>0.846208864981572</v>
      </c>
    </row>
    <row r="536" spans="2:26">
      <c r="B536" s="2">
        <v>62.5</v>
      </c>
      <c r="C536" s="2">
        <v>10</v>
      </c>
      <c r="D536" s="2">
        <v>0.063</v>
      </c>
      <c r="E536" s="2">
        <v>1</v>
      </c>
      <c r="F536" s="2">
        <v>1</v>
      </c>
      <c r="G536" s="2">
        <v>19.9</v>
      </c>
      <c r="H536" s="5">
        <v>0.850790029374404</v>
      </c>
      <c r="I536" s="6">
        <v>20.6</v>
      </c>
      <c r="J536" s="2">
        <v>14.8</v>
      </c>
      <c r="K536" s="6">
        <v>575.395530723641</v>
      </c>
      <c r="L536" s="10">
        <v>78.1712189840365</v>
      </c>
      <c r="M536" s="11">
        <v>0.859280555098909</v>
      </c>
      <c r="O536" s="2">
        <v>62.5</v>
      </c>
      <c r="P536" s="2">
        <v>10</v>
      </c>
      <c r="Q536" s="2">
        <v>0.063</v>
      </c>
      <c r="R536" s="2">
        <v>1</v>
      </c>
      <c r="S536" s="2">
        <v>1</v>
      </c>
      <c r="T536" s="2">
        <v>19.9</v>
      </c>
      <c r="U536" s="19">
        <v>0.850790029374404</v>
      </c>
      <c r="V536" s="6">
        <v>20.6</v>
      </c>
      <c r="W536" s="2">
        <v>14.8</v>
      </c>
      <c r="X536" s="10">
        <v>575.395530723641</v>
      </c>
      <c r="Y536" s="11">
        <v>78.1712189840365</v>
      </c>
      <c r="Z536" s="5">
        <v>0.859280555098909</v>
      </c>
    </row>
    <row r="537" spans="2:26">
      <c r="B537" s="2">
        <v>65</v>
      </c>
      <c r="C537" s="2">
        <v>10</v>
      </c>
      <c r="D537" s="2">
        <v>0.063</v>
      </c>
      <c r="E537" s="2">
        <v>1</v>
      </c>
      <c r="F537" s="2">
        <v>1</v>
      </c>
      <c r="G537" s="2">
        <v>19.9</v>
      </c>
      <c r="H537" s="5">
        <v>0.831152647810126</v>
      </c>
      <c r="I537" s="6">
        <v>20.7</v>
      </c>
      <c r="J537" s="2">
        <v>16.8</v>
      </c>
      <c r="K537" s="6">
        <v>648.739645477637</v>
      </c>
      <c r="L537" s="10">
        <v>84.1239654690564</v>
      </c>
      <c r="M537" s="11">
        <v>0.884545706388951</v>
      </c>
      <c r="O537" s="2">
        <v>65</v>
      </c>
      <c r="P537" s="2">
        <v>10</v>
      </c>
      <c r="Q537" s="2">
        <v>0.063</v>
      </c>
      <c r="R537" s="2">
        <v>1</v>
      </c>
      <c r="S537" s="2">
        <v>1</v>
      </c>
      <c r="T537" s="2">
        <v>19.9</v>
      </c>
      <c r="U537" s="19">
        <v>0.831152647810126</v>
      </c>
      <c r="V537" s="6">
        <v>20.7</v>
      </c>
      <c r="W537" s="2">
        <v>16.8</v>
      </c>
      <c r="X537" s="10">
        <v>648.739645477637</v>
      </c>
      <c r="Y537" s="11">
        <v>84.1239654690564</v>
      </c>
      <c r="Z537" s="5">
        <v>0.884545706388951</v>
      </c>
    </row>
    <row r="538" spans="2:26">
      <c r="B538" s="2">
        <v>67.5</v>
      </c>
      <c r="C538" s="2">
        <v>10</v>
      </c>
      <c r="D538" s="2">
        <v>0.063</v>
      </c>
      <c r="E538" s="2">
        <v>1</v>
      </c>
      <c r="F538" s="2">
        <v>1</v>
      </c>
      <c r="G538" s="2">
        <v>19.9</v>
      </c>
      <c r="H538" s="5">
        <v>0.809058400419842</v>
      </c>
      <c r="I538" s="6">
        <v>20.7</v>
      </c>
      <c r="J538" s="2">
        <v>18.9</v>
      </c>
      <c r="K538" s="6">
        <v>727.411723061184</v>
      </c>
      <c r="L538" s="10">
        <v>93.3391955326702</v>
      </c>
      <c r="M538" s="11">
        <v>0.903308628651687</v>
      </c>
      <c r="O538" s="2">
        <v>67.5</v>
      </c>
      <c r="P538" s="2">
        <v>10</v>
      </c>
      <c r="Q538" s="2">
        <v>0.063</v>
      </c>
      <c r="R538" s="2">
        <v>1</v>
      </c>
      <c r="S538" s="2">
        <v>1</v>
      </c>
      <c r="T538" s="2">
        <v>19.9</v>
      </c>
      <c r="U538" s="19">
        <v>0.809058400419842</v>
      </c>
      <c r="V538" s="6">
        <v>20.7</v>
      </c>
      <c r="W538" s="2">
        <v>18.9</v>
      </c>
      <c r="X538" s="10">
        <v>727.411723061184</v>
      </c>
      <c r="Y538" s="11">
        <v>93.3391955326702</v>
      </c>
      <c r="Z538" s="5">
        <v>0.903308628651687</v>
      </c>
    </row>
    <row r="539" spans="2:26">
      <c r="B539" s="2">
        <v>70</v>
      </c>
      <c r="C539" s="2">
        <v>10</v>
      </c>
      <c r="D539" s="2">
        <v>0.063</v>
      </c>
      <c r="E539" s="2">
        <v>1</v>
      </c>
      <c r="F539" s="2">
        <v>1</v>
      </c>
      <c r="G539" s="2">
        <v>19.9</v>
      </c>
      <c r="H539" s="5">
        <v>0.784179277129304</v>
      </c>
      <c r="I539" s="6">
        <v>20.7</v>
      </c>
      <c r="J539" s="2">
        <v>20.8</v>
      </c>
      <c r="K539" s="6">
        <v>805.634660403887</v>
      </c>
      <c r="L539" s="10">
        <v>101.785043882104</v>
      </c>
      <c r="M539" s="11">
        <v>0.903425585053306</v>
      </c>
      <c r="O539" s="2">
        <v>70</v>
      </c>
      <c r="P539" s="2">
        <v>10</v>
      </c>
      <c r="Q539" s="2">
        <v>0.063</v>
      </c>
      <c r="R539" s="2">
        <v>1</v>
      </c>
      <c r="S539" s="2">
        <v>1</v>
      </c>
      <c r="T539" s="2">
        <v>19.9</v>
      </c>
      <c r="U539" s="19">
        <v>0.784179277129304</v>
      </c>
      <c r="V539" s="6">
        <v>20.7</v>
      </c>
      <c r="W539" s="2">
        <v>20.8</v>
      </c>
      <c r="X539" s="10">
        <v>805.634660403887</v>
      </c>
      <c r="Y539" s="11">
        <v>101.785043882104</v>
      </c>
      <c r="Z539" s="5">
        <v>0.903425585053306</v>
      </c>
    </row>
    <row r="540" spans="2:26">
      <c r="B540" s="2">
        <v>45</v>
      </c>
      <c r="C540" s="2">
        <v>6</v>
      </c>
      <c r="D540" s="2">
        <v>0.03</v>
      </c>
      <c r="E540" s="2">
        <v>1</v>
      </c>
      <c r="F540" s="2">
        <v>1</v>
      </c>
      <c r="G540" s="2">
        <v>22.3</v>
      </c>
      <c r="H540" s="5">
        <v>0.93913980595102</v>
      </c>
      <c r="I540" s="6">
        <v>22.7</v>
      </c>
      <c r="J540" s="2">
        <v>6.7</v>
      </c>
      <c r="K540" s="6">
        <v>126.832736234027</v>
      </c>
      <c r="L540" s="10">
        <v>29.9917099232535</v>
      </c>
      <c r="M540" s="11">
        <v>0.635947862343723</v>
      </c>
      <c r="O540" s="2">
        <v>45</v>
      </c>
      <c r="P540" s="2">
        <v>6</v>
      </c>
      <c r="Q540" s="2">
        <v>0.03</v>
      </c>
      <c r="R540" s="2">
        <v>1</v>
      </c>
      <c r="S540" s="2">
        <v>1</v>
      </c>
      <c r="T540" s="2">
        <v>22.3</v>
      </c>
      <c r="U540" s="19">
        <v>0.93913980595102</v>
      </c>
      <c r="V540" s="6">
        <v>22.7</v>
      </c>
      <c r="W540" s="2">
        <v>6.7</v>
      </c>
      <c r="X540" s="10">
        <v>126.832736234027</v>
      </c>
      <c r="Y540" s="11">
        <v>29.9917099232535</v>
      </c>
      <c r="Z540" s="5">
        <v>0.635947862343723</v>
      </c>
    </row>
    <row r="541" spans="2:26">
      <c r="B541" s="2">
        <v>47.5</v>
      </c>
      <c r="C541" s="2">
        <v>6</v>
      </c>
      <c r="D541" s="2">
        <v>0.03</v>
      </c>
      <c r="E541" s="2">
        <v>1</v>
      </c>
      <c r="F541" s="2">
        <v>1</v>
      </c>
      <c r="G541" s="2">
        <v>22.4</v>
      </c>
      <c r="H541" s="5">
        <v>0.930523923822277</v>
      </c>
      <c r="I541" s="6">
        <v>22.7</v>
      </c>
      <c r="J541" s="2">
        <v>7.8</v>
      </c>
      <c r="K541" s="6">
        <v>148.216227548166</v>
      </c>
      <c r="L541" s="10">
        <v>35.3511335663347</v>
      </c>
      <c r="M541" s="11">
        <v>0.665456699746098</v>
      </c>
      <c r="O541" s="2">
        <v>47.5</v>
      </c>
      <c r="P541" s="2">
        <v>6</v>
      </c>
      <c r="Q541" s="2">
        <v>0.03</v>
      </c>
      <c r="R541" s="2">
        <v>1</v>
      </c>
      <c r="S541" s="2">
        <v>1</v>
      </c>
      <c r="T541" s="2">
        <v>22.4</v>
      </c>
      <c r="U541" s="19">
        <v>0.930523923822277</v>
      </c>
      <c r="V541" s="6">
        <v>22.7</v>
      </c>
      <c r="W541" s="2">
        <v>7.8</v>
      </c>
      <c r="X541" s="10">
        <v>148.216227548166</v>
      </c>
      <c r="Y541" s="11">
        <v>35.3511335663347</v>
      </c>
      <c r="Z541" s="5">
        <v>0.665456699746098</v>
      </c>
    </row>
    <row r="542" spans="2:26">
      <c r="B542" s="2">
        <v>50</v>
      </c>
      <c r="C542" s="2">
        <v>6</v>
      </c>
      <c r="D542" s="2">
        <v>0.03</v>
      </c>
      <c r="E542" s="2">
        <v>1</v>
      </c>
      <c r="F542" s="2">
        <v>1</v>
      </c>
      <c r="G542" s="2">
        <v>22.4</v>
      </c>
      <c r="H542" s="5">
        <v>0.920818198615511</v>
      </c>
      <c r="I542" s="6">
        <v>22.6</v>
      </c>
      <c r="J542" s="2">
        <v>9.2</v>
      </c>
      <c r="K542" s="6">
        <v>173.607109825192</v>
      </c>
      <c r="L542" s="10">
        <v>43.1326728627501</v>
      </c>
      <c r="M542" s="11">
        <v>0.706367105650546</v>
      </c>
      <c r="O542" s="2">
        <v>50</v>
      </c>
      <c r="P542" s="2">
        <v>6</v>
      </c>
      <c r="Q542" s="2">
        <v>0.03</v>
      </c>
      <c r="R542" s="2">
        <v>1</v>
      </c>
      <c r="S542" s="2">
        <v>1</v>
      </c>
      <c r="T542" s="2">
        <v>22.4</v>
      </c>
      <c r="U542" s="19">
        <v>0.920818198615511</v>
      </c>
      <c r="V542" s="6">
        <v>22.6</v>
      </c>
      <c r="W542" s="2">
        <v>9.2</v>
      </c>
      <c r="X542" s="10">
        <v>173.607109825192</v>
      </c>
      <c r="Y542" s="11">
        <v>43.1326728627501</v>
      </c>
      <c r="Z542" s="5">
        <v>0.706367105650546</v>
      </c>
    </row>
    <row r="543" spans="2:26">
      <c r="B543" s="2">
        <v>52.5</v>
      </c>
      <c r="C543" s="2">
        <v>6</v>
      </c>
      <c r="D543" s="2">
        <v>0.03</v>
      </c>
      <c r="E543" s="2">
        <v>1</v>
      </c>
      <c r="F543" s="2">
        <v>1</v>
      </c>
      <c r="G543" s="2">
        <v>22.4</v>
      </c>
      <c r="H543" s="5">
        <v>0.909893599259399</v>
      </c>
      <c r="I543" s="6">
        <v>22.6</v>
      </c>
      <c r="J543" s="2">
        <v>10.7</v>
      </c>
      <c r="K543" s="6">
        <v>200.919065526558</v>
      </c>
      <c r="L543" s="10">
        <v>47.8722216070304</v>
      </c>
      <c r="M543" s="11">
        <v>0.740438482355239</v>
      </c>
      <c r="O543" s="2">
        <v>52.5</v>
      </c>
      <c r="P543" s="2">
        <v>6</v>
      </c>
      <c r="Q543" s="2">
        <v>0.03</v>
      </c>
      <c r="R543" s="2">
        <v>1</v>
      </c>
      <c r="S543" s="2">
        <v>1</v>
      </c>
      <c r="T543" s="2">
        <v>22.4</v>
      </c>
      <c r="U543" s="19">
        <v>0.909893599259399</v>
      </c>
      <c r="V543" s="6">
        <v>22.6</v>
      </c>
      <c r="W543" s="2">
        <v>10.7</v>
      </c>
      <c r="X543" s="10">
        <v>200.919065526558</v>
      </c>
      <c r="Y543" s="11">
        <v>47.8722216070304</v>
      </c>
      <c r="Z543" s="5">
        <v>0.740438482355239</v>
      </c>
    </row>
    <row r="544" spans="2:26">
      <c r="B544" s="2">
        <v>55</v>
      </c>
      <c r="C544" s="2">
        <v>6</v>
      </c>
      <c r="D544" s="2">
        <v>0.03</v>
      </c>
      <c r="E544" s="2">
        <v>1</v>
      </c>
      <c r="F544" s="2">
        <v>1</v>
      </c>
      <c r="G544" s="2">
        <v>22.4</v>
      </c>
      <c r="H544" s="5">
        <v>0.89760467536325</v>
      </c>
      <c r="I544" s="6">
        <v>22.6</v>
      </c>
      <c r="J544" s="2">
        <v>12.7</v>
      </c>
      <c r="K544" s="6">
        <v>234.079759043484</v>
      </c>
      <c r="L544" s="10">
        <v>54.6600910105621</v>
      </c>
      <c r="M544" s="11">
        <v>0.793086343439194</v>
      </c>
      <c r="O544" s="2">
        <v>55</v>
      </c>
      <c r="P544" s="2">
        <v>6</v>
      </c>
      <c r="Q544" s="2">
        <v>0.03</v>
      </c>
      <c r="R544" s="2">
        <v>1</v>
      </c>
      <c r="S544" s="2">
        <v>1</v>
      </c>
      <c r="T544" s="2">
        <v>22.4</v>
      </c>
      <c r="U544" s="19">
        <v>0.89760467536325</v>
      </c>
      <c r="V544" s="6">
        <v>22.6</v>
      </c>
      <c r="W544" s="2">
        <v>12.7</v>
      </c>
      <c r="X544" s="10">
        <v>234.079759043484</v>
      </c>
      <c r="Y544" s="11">
        <v>54.6600910105621</v>
      </c>
      <c r="Z544" s="5">
        <v>0.793086343439194</v>
      </c>
    </row>
    <row r="545" spans="2:26">
      <c r="B545" s="2">
        <v>57.5</v>
      </c>
      <c r="C545" s="2">
        <v>6</v>
      </c>
      <c r="D545" s="2">
        <v>0.03</v>
      </c>
      <c r="E545" s="2">
        <v>1</v>
      </c>
      <c r="F545" s="2">
        <v>1</v>
      </c>
      <c r="G545" s="2">
        <v>22.5</v>
      </c>
      <c r="H545" s="5">
        <v>0.883786850160418</v>
      </c>
      <c r="I545" s="6">
        <v>22.6</v>
      </c>
      <c r="J545" s="2">
        <v>14.3</v>
      </c>
      <c r="K545" s="6">
        <v>264.993578317305</v>
      </c>
      <c r="L545" s="10">
        <v>68.5988463683168</v>
      </c>
      <c r="M545" s="11">
        <v>0.806852869101149</v>
      </c>
      <c r="O545" s="2">
        <v>57.5</v>
      </c>
      <c r="P545" s="2">
        <v>6</v>
      </c>
      <c r="Q545" s="2">
        <v>0.03</v>
      </c>
      <c r="R545" s="2">
        <v>1</v>
      </c>
      <c r="S545" s="2">
        <v>1</v>
      </c>
      <c r="T545" s="2">
        <v>22.5</v>
      </c>
      <c r="U545" s="19">
        <v>0.883786850160418</v>
      </c>
      <c r="V545" s="6">
        <v>22.6</v>
      </c>
      <c r="W545" s="2">
        <v>14.3</v>
      </c>
      <c r="X545" s="10">
        <v>264.993578317305</v>
      </c>
      <c r="Y545" s="11">
        <v>68.5988463683168</v>
      </c>
      <c r="Z545" s="5">
        <v>0.806852869101149</v>
      </c>
    </row>
    <row r="546" spans="2:26">
      <c r="B546" s="2">
        <v>60</v>
      </c>
      <c r="C546" s="2">
        <v>6</v>
      </c>
      <c r="D546" s="2">
        <v>0.03</v>
      </c>
      <c r="E546" s="2">
        <v>1</v>
      </c>
      <c r="F546" s="2">
        <v>1</v>
      </c>
      <c r="G546" s="2">
        <v>22.5</v>
      </c>
      <c r="H546" s="5">
        <v>0.868253123396246</v>
      </c>
      <c r="I546" s="6">
        <v>22.6</v>
      </c>
      <c r="J546" s="2">
        <v>16.6</v>
      </c>
      <c r="K546" s="6">
        <v>303.800158209585</v>
      </c>
      <c r="L546" s="10">
        <v>78.0289418728553</v>
      </c>
      <c r="M546" s="11">
        <v>0.84727458839929</v>
      </c>
      <c r="O546" s="2">
        <v>60</v>
      </c>
      <c r="P546" s="2">
        <v>6</v>
      </c>
      <c r="Q546" s="2">
        <v>0.03</v>
      </c>
      <c r="R546" s="2">
        <v>1</v>
      </c>
      <c r="S546" s="2">
        <v>1</v>
      </c>
      <c r="T546" s="2">
        <v>22.5</v>
      </c>
      <c r="U546" s="19">
        <v>0.868253123396246</v>
      </c>
      <c r="V546" s="6">
        <v>22.6</v>
      </c>
      <c r="W546" s="2">
        <v>16.6</v>
      </c>
      <c r="X546" s="10">
        <v>303.800158209585</v>
      </c>
      <c r="Y546" s="11">
        <v>78.0289418728553</v>
      </c>
      <c r="Z546" s="5">
        <v>0.84727458839929</v>
      </c>
    </row>
    <row r="547" spans="2:26">
      <c r="B547" s="2">
        <v>62.5</v>
      </c>
      <c r="C547" s="2">
        <v>6</v>
      </c>
      <c r="D547" s="2">
        <v>0.03</v>
      </c>
      <c r="E547" s="2">
        <v>1</v>
      </c>
      <c r="F547" s="2">
        <v>1</v>
      </c>
      <c r="G547" s="2">
        <v>22.5</v>
      </c>
      <c r="H547" s="5">
        <v>0.850790029374404</v>
      </c>
      <c r="I547" s="6">
        <v>22.6</v>
      </c>
      <c r="J547" s="2">
        <v>18.5</v>
      </c>
      <c r="K547" s="6">
        <v>340.593269181061</v>
      </c>
      <c r="L547" s="10">
        <v>85.4767833452394</v>
      </c>
      <c r="M547" s="11">
        <v>0.855169035758893</v>
      </c>
      <c r="O547" s="2">
        <v>62.5</v>
      </c>
      <c r="P547" s="2">
        <v>6</v>
      </c>
      <c r="Q547" s="2">
        <v>0.03</v>
      </c>
      <c r="R547" s="2">
        <v>1</v>
      </c>
      <c r="S547" s="2">
        <v>1</v>
      </c>
      <c r="T547" s="2">
        <v>22.5</v>
      </c>
      <c r="U547" s="19">
        <v>0.850790029374404</v>
      </c>
      <c r="V547" s="6">
        <v>22.6</v>
      </c>
      <c r="W547" s="2">
        <v>18.5</v>
      </c>
      <c r="X547" s="10">
        <v>340.593269181061</v>
      </c>
      <c r="Y547" s="11">
        <v>85.4767833452394</v>
      </c>
      <c r="Z547" s="5">
        <v>0.855169035758893</v>
      </c>
    </row>
    <row r="548" spans="2:26">
      <c r="B548" s="2">
        <v>65</v>
      </c>
      <c r="C548" s="2">
        <v>6</v>
      </c>
      <c r="D548" s="2">
        <v>0.03</v>
      </c>
      <c r="E548" s="2">
        <v>1</v>
      </c>
      <c r="F548" s="2">
        <v>1</v>
      </c>
      <c r="G548" s="2">
        <v>22.4</v>
      </c>
      <c r="H548" s="5">
        <v>0.831152647810126</v>
      </c>
      <c r="I548" s="6">
        <v>22.7</v>
      </c>
      <c r="J548" s="2">
        <v>21</v>
      </c>
      <c r="K548" s="6">
        <v>384.445495719103</v>
      </c>
      <c r="L548" s="10">
        <v>77.1899073309962</v>
      </c>
      <c r="M548" s="11">
        <v>0.880301831270819</v>
      </c>
      <c r="O548" s="2">
        <v>65</v>
      </c>
      <c r="P548" s="2">
        <v>6</v>
      </c>
      <c r="Q548" s="2">
        <v>0.03</v>
      </c>
      <c r="R548" s="2">
        <v>1</v>
      </c>
      <c r="S548" s="2">
        <v>1</v>
      </c>
      <c r="T548" s="2">
        <v>22.4</v>
      </c>
      <c r="U548" s="19">
        <v>0.831152647810126</v>
      </c>
      <c r="V548" s="6">
        <v>22.7</v>
      </c>
      <c r="W548" s="2">
        <v>21</v>
      </c>
      <c r="X548" s="10">
        <v>384.445495719103</v>
      </c>
      <c r="Y548" s="11">
        <v>77.1899073309962</v>
      </c>
      <c r="Z548" s="5">
        <v>0.880301831270819</v>
      </c>
    </row>
    <row r="549" spans="2:26">
      <c r="B549" s="2">
        <v>67.5</v>
      </c>
      <c r="C549" s="2">
        <v>6</v>
      </c>
      <c r="D549" s="2">
        <v>0.03</v>
      </c>
      <c r="E549" s="2">
        <v>1</v>
      </c>
      <c r="F549" s="2">
        <v>1</v>
      </c>
      <c r="G549" s="2">
        <v>22.4</v>
      </c>
      <c r="H549" s="5">
        <v>0.809058400419842</v>
      </c>
      <c r="I549" s="6">
        <v>22.7</v>
      </c>
      <c r="J549" s="2">
        <v>23</v>
      </c>
      <c r="K549" s="6">
        <v>425.802027709774</v>
      </c>
      <c r="L549" s="10">
        <v>83.9796919280629</v>
      </c>
      <c r="M549" s="11">
        <v>0.875181459399745</v>
      </c>
      <c r="O549" s="2">
        <v>67.5</v>
      </c>
      <c r="P549" s="2">
        <v>6</v>
      </c>
      <c r="Q549" s="2">
        <v>0.03</v>
      </c>
      <c r="R549" s="2">
        <v>1</v>
      </c>
      <c r="S549" s="2">
        <v>1</v>
      </c>
      <c r="T549" s="2">
        <v>22.4</v>
      </c>
      <c r="U549" s="19">
        <v>0.809058400419842</v>
      </c>
      <c r="V549" s="6">
        <v>22.7</v>
      </c>
      <c r="W549" s="2">
        <v>23</v>
      </c>
      <c r="X549" s="10">
        <v>425.802027709774</v>
      </c>
      <c r="Y549" s="11">
        <v>83.9796919280629</v>
      </c>
      <c r="Z549" s="5">
        <v>0.875181459399745</v>
      </c>
    </row>
    <row r="550" spans="2:26">
      <c r="B550" s="2">
        <v>70</v>
      </c>
      <c r="C550" s="2">
        <v>6</v>
      </c>
      <c r="D550" s="2">
        <v>0.03</v>
      </c>
      <c r="E550" s="2">
        <v>1</v>
      </c>
      <c r="F550" s="2">
        <v>1</v>
      </c>
      <c r="G550" s="2">
        <v>22.4</v>
      </c>
      <c r="H550" s="5">
        <v>0.784179277129304</v>
      </c>
      <c r="I550" s="6">
        <v>22.6</v>
      </c>
      <c r="J550" s="2">
        <v>26.1</v>
      </c>
      <c r="K550" s="6">
        <v>479.378571583597</v>
      </c>
      <c r="L550" s="10">
        <v>105.27177845551</v>
      </c>
      <c r="M550" s="11">
        <v>0.902385625265994</v>
      </c>
      <c r="O550" s="2">
        <v>70</v>
      </c>
      <c r="P550" s="2">
        <v>6</v>
      </c>
      <c r="Q550" s="2">
        <v>0.03</v>
      </c>
      <c r="R550" s="2">
        <v>1</v>
      </c>
      <c r="S550" s="2">
        <v>1</v>
      </c>
      <c r="T550" s="2">
        <v>22.4</v>
      </c>
      <c r="U550" s="19">
        <v>0.784179277129304</v>
      </c>
      <c r="V550" s="6">
        <v>22.6</v>
      </c>
      <c r="W550" s="2">
        <v>26.1</v>
      </c>
      <c r="X550" s="10">
        <v>479.378571583597</v>
      </c>
      <c r="Y550" s="11">
        <v>105.27177845551</v>
      </c>
      <c r="Z550" s="5">
        <v>0.902385625265994</v>
      </c>
    </row>
    <row r="551" spans="2:26">
      <c r="B551" s="2">
        <v>45</v>
      </c>
      <c r="C551" s="2">
        <v>7.9</v>
      </c>
      <c r="D551" s="2">
        <v>0.03</v>
      </c>
      <c r="E551" s="2">
        <v>1</v>
      </c>
      <c r="F551" s="2">
        <v>1</v>
      </c>
      <c r="G551" s="2">
        <v>22.3</v>
      </c>
      <c r="H551" s="5">
        <v>0.93913980595102</v>
      </c>
      <c r="I551" s="6">
        <v>22.5</v>
      </c>
      <c r="J551" s="2">
        <v>8.9</v>
      </c>
      <c r="K551" s="6">
        <v>168.187640939601</v>
      </c>
      <c r="L551" s="10">
        <v>52.3620870952376</v>
      </c>
      <c r="M551" s="11">
        <v>0.64138592012696</v>
      </c>
      <c r="O551" s="2">
        <v>45</v>
      </c>
      <c r="P551" s="2">
        <v>7.9</v>
      </c>
      <c r="Q551" s="2">
        <v>0.03</v>
      </c>
      <c r="R551" s="2">
        <v>1</v>
      </c>
      <c r="S551" s="2">
        <v>1</v>
      </c>
      <c r="T551" s="2">
        <v>22.3</v>
      </c>
      <c r="U551" s="19">
        <v>0.93913980595102</v>
      </c>
      <c r="V551" s="6">
        <v>22.5</v>
      </c>
      <c r="W551" s="2">
        <v>8.9</v>
      </c>
      <c r="X551" s="10">
        <v>168.187640939601</v>
      </c>
      <c r="Y551" s="11">
        <v>52.3620870952376</v>
      </c>
      <c r="Z551" s="5">
        <v>0.64138592012696</v>
      </c>
    </row>
    <row r="552" spans="2:26">
      <c r="B552" s="2">
        <v>47.5</v>
      </c>
      <c r="C552" s="2">
        <v>7.9</v>
      </c>
      <c r="D552" s="2">
        <v>0.03</v>
      </c>
      <c r="E552" s="2">
        <v>1</v>
      </c>
      <c r="F552" s="2">
        <v>1</v>
      </c>
      <c r="G552" s="2">
        <v>22.4</v>
      </c>
      <c r="H552" s="5">
        <v>0.930523923822277</v>
      </c>
      <c r="I552" s="6">
        <v>22.5</v>
      </c>
      <c r="J552" s="2">
        <v>10.3</v>
      </c>
      <c r="K552" s="6">
        <v>195.898620437311</v>
      </c>
      <c r="L552" s="10">
        <v>66.5950333648152</v>
      </c>
      <c r="M552" s="11">
        <v>0.667184124179565</v>
      </c>
      <c r="O552" s="2">
        <v>47.5</v>
      </c>
      <c r="P552" s="2">
        <v>7.9</v>
      </c>
      <c r="Q552" s="2">
        <v>0.03</v>
      </c>
      <c r="R552" s="2">
        <v>1</v>
      </c>
      <c r="S552" s="2">
        <v>1</v>
      </c>
      <c r="T552" s="2">
        <v>22.4</v>
      </c>
      <c r="U552" s="19">
        <v>0.930523923822277</v>
      </c>
      <c r="V552" s="6">
        <v>22.5</v>
      </c>
      <c r="W552" s="2">
        <v>10.3</v>
      </c>
      <c r="X552" s="10">
        <v>195.898620437311</v>
      </c>
      <c r="Y552" s="11">
        <v>66.5950333648152</v>
      </c>
      <c r="Z552" s="5">
        <v>0.667184124179565</v>
      </c>
    </row>
    <row r="553" spans="2:26">
      <c r="B553" s="2">
        <v>50</v>
      </c>
      <c r="C553" s="2">
        <v>7.9</v>
      </c>
      <c r="D553" s="2">
        <v>0.03</v>
      </c>
      <c r="E553" s="2">
        <v>1</v>
      </c>
      <c r="F553" s="2">
        <v>1</v>
      </c>
      <c r="G553" s="2">
        <v>22.4</v>
      </c>
      <c r="H553" s="5">
        <v>0.920818198615511</v>
      </c>
      <c r="I553" s="6">
        <v>22.5</v>
      </c>
      <c r="J553" s="2">
        <v>12.4</v>
      </c>
      <c r="K553" s="6">
        <v>231.430215303027</v>
      </c>
      <c r="L553" s="10">
        <v>76.9985265295454</v>
      </c>
      <c r="M553" s="11">
        <v>0.722966747673812</v>
      </c>
      <c r="O553" s="2">
        <v>50</v>
      </c>
      <c r="P553" s="2">
        <v>7.9</v>
      </c>
      <c r="Q553" s="2">
        <v>0.03</v>
      </c>
      <c r="R553" s="2">
        <v>1</v>
      </c>
      <c r="S553" s="2">
        <v>1</v>
      </c>
      <c r="T553" s="2">
        <v>22.4</v>
      </c>
      <c r="U553" s="19">
        <v>0.920818198615511</v>
      </c>
      <c r="V553" s="6">
        <v>22.5</v>
      </c>
      <c r="W553" s="2">
        <v>12.4</v>
      </c>
      <c r="X553" s="10">
        <v>231.430215303027</v>
      </c>
      <c r="Y553" s="11">
        <v>76.9985265295454</v>
      </c>
      <c r="Z553" s="5">
        <v>0.722966747673812</v>
      </c>
    </row>
    <row r="554" spans="2:26">
      <c r="B554" s="2">
        <v>52.5</v>
      </c>
      <c r="C554" s="2">
        <v>7.9</v>
      </c>
      <c r="D554" s="2">
        <v>0.03</v>
      </c>
      <c r="E554" s="2">
        <v>1</v>
      </c>
      <c r="F554" s="2">
        <v>1</v>
      </c>
      <c r="G554" s="2">
        <v>22.4</v>
      </c>
      <c r="H554" s="5">
        <v>0.909893599259399</v>
      </c>
      <c r="I554" s="6">
        <v>22.5</v>
      </c>
      <c r="J554" s="2">
        <v>14.3</v>
      </c>
      <c r="K554" s="6">
        <v>266.705426283201</v>
      </c>
      <c r="L554" s="10">
        <v>86.0013736549472</v>
      </c>
      <c r="M554" s="11">
        <v>0.751442098596207</v>
      </c>
      <c r="O554" s="2">
        <v>52.5</v>
      </c>
      <c r="P554" s="2">
        <v>7.9</v>
      </c>
      <c r="Q554" s="2">
        <v>0.03</v>
      </c>
      <c r="R554" s="2">
        <v>1</v>
      </c>
      <c r="S554" s="2">
        <v>1</v>
      </c>
      <c r="T554" s="2">
        <v>22.4</v>
      </c>
      <c r="U554" s="19">
        <v>0.909893599259399</v>
      </c>
      <c r="V554" s="6">
        <v>22.5</v>
      </c>
      <c r="W554" s="2">
        <v>14.3</v>
      </c>
      <c r="X554" s="10">
        <v>266.705426283201</v>
      </c>
      <c r="Y554" s="11">
        <v>86.0013736549472</v>
      </c>
      <c r="Z554" s="5">
        <v>0.751442098596207</v>
      </c>
    </row>
    <row r="555" spans="2:26">
      <c r="B555" s="2">
        <v>55</v>
      </c>
      <c r="C555" s="2">
        <v>7.9</v>
      </c>
      <c r="D555" s="2">
        <v>0.03</v>
      </c>
      <c r="E555" s="2">
        <v>1</v>
      </c>
      <c r="F555" s="2">
        <v>1</v>
      </c>
      <c r="G555" s="2">
        <v>22.4</v>
      </c>
      <c r="H555" s="5">
        <v>0.89760467536325</v>
      </c>
      <c r="I555" s="6">
        <v>22.7</v>
      </c>
      <c r="J555" s="2">
        <v>16.4</v>
      </c>
      <c r="K555" s="6">
        <v>305.041707193264</v>
      </c>
      <c r="L555" s="10">
        <v>76.5287109138779</v>
      </c>
      <c r="M555" s="11">
        <v>0.777954765197652</v>
      </c>
      <c r="O555" s="2">
        <v>55</v>
      </c>
      <c r="P555" s="2">
        <v>7.9</v>
      </c>
      <c r="Q555" s="2">
        <v>0.03</v>
      </c>
      <c r="R555" s="2">
        <v>1</v>
      </c>
      <c r="S555" s="2">
        <v>1</v>
      </c>
      <c r="T555" s="2">
        <v>22.4</v>
      </c>
      <c r="U555" s="19">
        <v>0.89760467536325</v>
      </c>
      <c r="V555" s="6">
        <v>22.7</v>
      </c>
      <c r="W555" s="2">
        <v>16.4</v>
      </c>
      <c r="X555" s="10">
        <v>305.041707193264</v>
      </c>
      <c r="Y555" s="11">
        <v>76.5287109138779</v>
      </c>
      <c r="Z555" s="5">
        <v>0.777954765197652</v>
      </c>
    </row>
    <row r="556" spans="2:26">
      <c r="B556" s="2">
        <v>57.5</v>
      </c>
      <c r="C556" s="2">
        <v>7.9</v>
      </c>
      <c r="D556" s="2">
        <v>0.03</v>
      </c>
      <c r="E556" s="2">
        <v>1</v>
      </c>
      <c r="F556" s="2">
        <v>1</v>
      </c>
      <c r="G556" s="2">
        <v>22.4</v>
      </c>
      <c r="H556" s="5">
        <v>0.883786850160418</v>
      </c>
      <c r="I556" s="6">
        <v>22.7</v>
      </c>
      <c r="J556" s="2">
        <v>18.5</v>
      </c>
      <c r="K556" s="6">
        <v>345.686385150953</v>
      </c>
      <c r="L556" s="10">
        <v>85.1146790638463</v>
      </c>
      <c r="M556" s="11">
        <v>0.792909292476399</v>
      </c>
      <c r="O556" s="2">
        <v>57.5</v>
      </c>
      <c r="P556" s="2">
        <v>7.9</v>
      </c>
      <c r="Q556" s="2">
        <v>0.03</v>
      </c>
      <c r="R556" s="2">
        <v>1</v>
      </c>
      <c r="S556" s="2">
        <v>1</v>
      </c>
      <c r="T556" s="2">
        <v>22.4</v>
      </c>
      <c r="U556" s="19">
        <v>0.883786850160418</v>
      </c>
      <c r="V556" s="6">
        <v>22.7</v>
      </c>
      <c r="W556" s="2">
        <v>18.5</v>
      </c>
      <c r="X556" s="10">
        <v>345.686385150953</v>
      </c>
      <c r="Y556" s="11">
        <v>85.1146790638463</v>
      </c>
      <c r="Z556" s="5">
        <v>0.792909292476399</v>
      </c>
    </row>
    <row r="557" spans="2:26">
      <c r="B557" s="2">
        <v>60</v>
      </c>
      <c r="C557" s="2">
        <v>7.9</v>
      </c>
      <c r="D557" s="2">
        <v>0.03</v>
      </c>
      <c r="E557" s="2">
        <v>1</v>
      </c>
      <c r="F557" s="2">
        <v>1</v>
      </c>
      <c r="G557" s="2">
        <v>22.4</v>
      </c>
      <c r="H557" s="5">
        <v>0.868253123396246</v>
      </c>
      <c r="I557" s="6">
        <v>22.7</v>
      </c>
      <c r="J557" s="2">
        <v>21.2</v>
      </c>
      <c r="K557" s="6">
        <v>393.791506018293</v>
      </c>
      <c r="L557" s="10">
        <v>97.8670741254784</v>
      </c>
      <c r="M557" s="11">
        <v>0.821949522715622</v>
      </c>
      <c r="O557" s="2">
        <v>60</v>
      </c>
      <c r="P557" s="2">
        <v>7.9</v>
      </c>
      <c r="Q557" s="2">
        <v>0.03</v>
      </c>
      <c r="R557" s="2">
        <v>1</v>
      </c>
      <c r="S557" s="2">
        <v>1</v>
      </c>
      <c r="T557" s="2">
        <v>22.4</v>
      </c>
      <c r="U557" s="19">
        <v>0.868253123396246</v>
      </c>
      <c r="V557" s="6">
        <v>22.7</v>
      </c>
      <c r="W557" s="2">
        <v>21.2</v>
      </c>
      <c r="X557" s="10">
        <v>393.791506018293</v>
      </c>
      <c r="Y557" s="11">
        <v>97.8670741254784</v>
      </c>
      <c r="Z557" s="5">
        <v>0.821949522715622</v>
      </c>
    </row>
    <row r="558" spans="2:26">
      <c r="B558" s="2">
        <v>62.5</v>
      </c>
      <c r="C558" s="2">
        <v>7.9</v>
      </c>
      <c r="D558" s="2">
        <v>0.03</v>
      </c>
      <c r="E558" s="2">
        <v>1</v>
      </c>
      <c r="F558" s="2">
        <v>1</v>
      </c>
      <c r="G558" s="2">
        <v>22.4</v>
      </c>
      <c r="H558" s="5">
        <v>0.850790029374404</v>
      </c>
      <c r="I558" s="6">
        <v>22.8</v>
      </c>
      <c r="J558" s="2">
        <v>23.9</v>
      </c>
      <c r="K558" s="6">
        <v>443.821167480496</v>
      </c>
      <c r="L558" s="10">
        <v>103.969377427118</v>
      </c>
      <c r="M558" s="11">
        <v>0.839343652762806</v>
      </c>
      <c r="O558" s="2">
        <v>62.5</v>
      </c>
      <c r="P558" s="2">
        <v>7.9</v>
      </c>
      <c r="Q558" s="2">
        <v>0.03</v>
      </c>
      <c r="R558" s="2">
        <v>1</v>
      </c>
      <c r="S558" s="2">
        <v>1</v>
      </c>
      <c r="T558" s="2">
        <v>22.4</v>
      </c>
      <c r="U558" s="19">
        <v>0.850790029374404</v>
      </c>
      <c r="V558" s="6">
        <v>22.8</v>
      </c>
      <c r="W558" s="2">
        <v>23.9</v>
      </c>
      <c r="X558" s="10">
        <v>443.821167480496</v>
      </c>
      <c r="Y558" s="11">
        <v>103.969377427118</v>
      </c>
      <c r="Z558" s="5">
        <v>0.839343652762806</v>
      </c>
    </row>
    <row r="559" spans="2:26">
      <c r="B559" s="2">
        <v>65</v>
      </c>
      <c r="C559" s="2">
        <v>7.9</v>
      </c>
      <c r="D559" s="2">
        <v>0.03</v>
      </c>
      <c r="E559" s="2">
        <v>1</v>
      </c>
      <c r="F559" s="2">
        <v>1</v>
      </c>
      <c r="G559" s="2">
        <v>22.4</v>
      </c>
      <c r="H559" s="5">
        <v>0.831152647810126</v>
      </c>
      <c r="I559" s="6">
        <v>22.8</v>
      </c>
      <c r="J559" s="2">
        <v>27.2</v>
      </c>
      <c r="K559" s="6">
        <v>501.8629046474</v>
      </c>
      <c r="L559" s="10">
        <v>122.141996590043</v>
      </c>
      <c r="M559" s="11">
        <v>0.866111595583053</v>
      </c>
      <c r="O559" s="2">
        <v>65</v>
      </c>
      <c r="P559" s="2">
        <v>7.9</v>
      </c>
      <c r="Q559" s="2">
        <v>0.03</v>
      </c>
      <c r="R559" s="2">
        <v>1</v>
      </c>
      <c r="S559" s="2">
        <v>1</v>
      </c>
      <c r="T559" s="2">
        <v>22.4</v>
      </c>
      <c r="U559" s="19">
        <v>0.831152647810126</v>
      </c>
      <c r="V559" s="6">
        <v>22.8</v>
      </c>
      <c r="W559" s="2">
        <v>27.2</v>
      </c>
      <c r="X559" s="10">
        <v>501.8629046474</v>
      </c>
      <c r="Y559" s="11">
        <v>122.141996590043</v>
      </c>
      <c r="Z559" s="5">
        <v>0.866111595583053</v>
      </c>
    </row>
    <row r="560" spans="2:26">
      <c r="B560" s="2">
        <v>67.5</v>
      </c>
      <c r="C560" s="2">
        <v>7.9</v>
      </c>
      <c r="D560" s="2">
        <v>0.03</v>
      </c>
      <c r="E560" s="2">
        <v>1</v>
      </c>
      <c r="F560" s="2">
        <v>1</v>
      </c>
      <c r="G560" s="2">
        <v>22.4</v>
      </c>
      <c r="H560" s="5">
        <v>0.809058400419842</v>
      </c>
      <c r="I560" s="6">
        <v>22.8</v>
      </c>
      <c r="J560" s="2">
        <v>30.5</v>
      </c>
      <c r="K560" s="6">
        <v>562.395093594347</v>
      </c>
      <c r="L560" s="10">
        <v>142.472589118432</v>
      </c>
      <c r="M560" s="11">
        <v>0.881581527482669</v>
      </c>
      <c r="O560" s="2">
        <v>67.5</v>
      </c>
      <c r="P560" s="2">
        <v>7.9</v>
      </c>
      <c r="Q560" s="2">
        <v>0.03</v>
      </c>
      <c r="R560" s="2">
        <v>1</v>
      </c>
      <c r="S560" s="2">
        <v>1</v>
      </c>
      <c r="T560" s="2">
        <v>22.4</v>
      </c>
      <c r="U560" s="19">
        <v>0.809058400419842</v>
      </c>
      <c r="V560" s="6">
        <v>22.8</v>
      </c>
      <c r="W560" s="2">
        <v>30.5</v>
      </c>
      <c r="X560" s="10">
        <v>562.395093594347</v>
      </c>
      <c r="Y560" s="11">
        <v>142.472589118432</v>
      </c>
      <c r="Z560" s="5">
        <v>0.881581527482669</v>
      </c>
    </row>
    <row r="561" spans="2:26">
      <c r="B561" s="2">
        <v>70</v>
      </c>
      <c r="C561" s="2">
        <v>7.9</v>
      </c>
      <c r="D561" s="2">
        <v>0.03</v>
      </c>
      <c r="E561" s="2">
        <v>1</v>
      </c>
      <c r="F561" s="2">
        <v>1</v>
      </c>
      <c r="G561" s="2">
        <v>22.4</v>
      </c>
      <c r="H561" s="5">
        <v>0.784179277129304</v>
      </c>
      <c r="I561" s="6">
        <v>22.9</v>
      </c>
      <c r="J561" s="2">
        <v>33</v>
      </c>
      <c r="K561" s="6">
        <v>618.092966993331</v>
      </c>
      <c r="L561" s="10">
        <v>147.911343875984</v>
      </c>
      <c r="M561" s="11">
        <v>0.866949082034621</v>
      </c>
      <c r="O561" s="2">
        <v>70</v>
      </c>
      <c r="P561" s="2">
        <v>7.9</v>
      </c>
      <c r="Q561" s="2">
        <v>0.03</v>
      </c>
      <c r="R561" s="2">
        <v>1</v>
      </c>
      <c r="S561" s="2">
        <v>1</v>
      </c>
      <c r="T561" s="2">
        <v>22.4</v>
      </c>
      <c r="U561" s="19">
        <v>0.784179277129304</v>
      </c>
      <c r="V561" s="6">
        <v>22.9</v>
      </c>
      <c r="W561" s="2">
        <v>33</v>
      </c>
      <c r="X561" s="10">
        <v>618.092966993331</v>
      </c>
      <c r="Y561" s="11">
        <v>147.911343875984</v>
      </c>
      <c r="Z561" s="5">
        <v>0.866949082034621</v>
      </c>
    </row>
    <row r="562" spans="2:26">
      <c r="B562" s="2">
        <v>45</v>
      </c>
      <c r="C562" s="2">
        <v>10</v>
      </c>
      <c r="D562" s="2">
        <v>0.03</v>
      </c>
      <c r="E562" s="2">
        <v>1</v>
      </c>
      <c r="F562" s="2">
        <v>1</v>
      </c>
      <c r="G562" s="2">
        <v>22.2</v>
      </c>
      <c r="H562" s="5">
        <v>0.93913980595102</v>
      </c>
      <c r="I562" s="6">
        <v>22.7</v>
      </c>
      <c r="J562" s="2">
        <v>11.6</v>
      </c>
      <c r="K562" s="6">
        <v>215.337546501156</v>
      </c>
      <c r="L562" s="10">
        <v>62.5698653087531</v>
      </c>
      <c r="M562" s="11">
        <v>0.660626436106315</v>
      </c>
      <c r="O562" s="2">
        <v>45</v>
      </c>
      <c r="P562" s="2">
        <v>10</v>
      </c>
      <c r="Q562" s="2">
        <v>0.03</v>
      </c>
      <c r="R562" s="2">
        <v>1</v>
      </c>
      <c r="S562" s="2">
        <v>1</v>
      </c>
      <c r="T562" s="2">
        <v>22.2</v>
      </c>
      <c r="U562" s="19">
        <v>0.93913980595102</v>
      </c>
      <c r="V562" s="6">
        <v>22.7</v>
      </c>
      <c r="W562" s="2">
        <v>11.6</v>
      </c>
      <c r="X562" s="10">
        <v>215.337546501156</v>
      </c>
      <c r="Y562" s="11">
        <v>62.5698653087531</v>
      </c>
      <c r="Z562" s="5">
        <v>0.660626436106315</v>
      </c>
    </row>
    <row r="563" spans="2:26">
      <c r="B563" s="2">
        <v>47.5</v>
      </c>
      <c r="C563" s="2">
        <v>10</v>
      </c>
      <c r="D563" s="2">
        <v>0.03</v>
      </c>
      <c r="E563" s="2">
        <v>1</v>
      </c>
      <c r="F563" s="2">
        <v>1</v>
      </c>
      <c r="G563" s="2">
        <v>22.2</v>
      </c>
      <c r="H563" s="5">
        <v>0.930523923822277</v>
      </c>
      <c r="I563" s="6">
        <v>22.7</v>
      </c>
      <c r="J563" s="2">
        <v>13.3</v>
      </c>
      <c r="K563" s="6">
        <v>249.76142091361</v>
      </c>
      <c r="L563" s="10">
        <v>69.0221948180559</v>
      </c>
      <c r="M563" s="11">
        <v>0.680813392817161</v>
      </c>
      <c r="O563" s="2">
        <v>47.5</v>
      </c>
      <c r="P563" s="2">
        <v>10</v>
      </c>
      <c r="Q563" s="2">
        <v>0.03</v>
      </c>
      <c r="R563" s="2">
        <v>1</v>
      </c>
      <c r="S563" s="2">
        <v>1</v>
      </c>
      <c r="T563" s="2">
        <v>22.2</v>
      </c>
      <c r="U563" s="19">
        <v>0.930523923822277</v>
      </c>
      <c r="V563" s="6">
        <v>22.7</v>
      </c>
      <c r="W563" s="2">
        <v>13.3</v>
      </c>
      <c r="X563" s="10">
        <v>249.76142091361</v>
      </c>
      <c r="Y563" s="11">
        <v>69.0221948180559</v>
      </c>
      <c r="Z563" s="5">
        <v>0.680813392817161</v>
      </c>
    </row>
    <row r="564" spans="2:26">
      <c r="B564" s="2">
        <v>50</v>
      </c>
      <c r="C564" s="2">
        <v>10</v>
      </c>
      <c r="D564" s="2">
        <v>0.03</v>
      </c>
      <c r="E564" s="2">
        <v>1</v>
      </c>
      <c r="F564" s="2">
        <v>1</v>
      </c>
      <c r="G564" s="2">
        <v>22.2</v>
      </c>
      <c r="H564" s="5">
        <v>0.920818198615511</v>
      </c>
      <c r="I564" s="6">
        <v>22.7</v>
      </c>
      <c r="J564" s="2">
        <v>15.6</v>
      </c>
      <c r="K564" s="6">
        <v>291.47763499309</v>
      </c>
      <c r="L564" s="10">
        <v>79.5854304437072</v>
      </c>
      <c r="M564" s="11">
        <v>0.718767840776605</v>
      </c>
      <c r="O564" s="2">
        <v>50</v>
      </c>
      <c r="P564" s="2">
        <v>10</v>
      </c>
      <c r="Q564" s="2">
        <v>0.03</v>
      </c>
      <c r="R564" s="2">
        <v>1</v>
      </c>
      <c r="S564" s="2">
        <v>1</v>
      </c>
      <c r="T564" s="2">
        <v>22.2</v>
      </c>
      <c r="U564" s="19">
        <v>0.920818198615511</v>
      </c>
      <c r="V564" s="6">
        <v>22.7</v>
      </c>
      <c r="W564" s="2">
        <v>15.6</v>
      </c>
      <c r="X564" s="10">
        <v>291.47763499309</v>
      </c>
      <c r="Y564" s="11">
        <v>79.5854304437072</v>
      </c>
      <c r="Z564" s="5">
        <v>0.718767840776605</v>
      </c>
    </row>
    <row r="565" spans="2:26">
      <c r="B565" s="2">
        <v>52.5</v>
      </c>
      <c r="C565" s="2">
        <v>10</v>
      </c>
      <c r="D565" s="2">
        <v>0.03</v>
      </c>
      <c r="E565" s="2">
        <v>1</v>
      </c>
      <c r="F565" s="2">
        <v>1</v>
      </c>
      <c r="G565" s="2">
        <v>22.2</v>
      </c>
      <c r="H565" s="5">
        <v>0.909893599259399</v>
      </c>
      <c r="I565" s="6">
        <v>22.7</v>
      </c>
      <c r="J565" s="2">
        <v>18.3</v>
      </c>
      <c r="K565" s="6">
        <v>338.822953697779</v>
      </c>
      <c r="L565" s="10">
        <v>93.6345726790462</v>
      </c>
      <c r="M565" s="11">
        <v>0.759936688121127</v>
      </c>
      <c r="O565" s="2">
        <v>52.5</v>
      </c>
      <c r="P565" s="2">
        <v>10</v>
      </c>
      <c r="Q565" s="2">
        <v>0.03</v>
      </c>
      <c r="R565" s="2">
        <v>1</v>
      </c>
      <c r="S565" s="2">
        <v>1</v>
      </c>
      <c r="T565" s="2">
        <v>22.2</v>
      </c>
      <c r="U565" s="19">
        <v>0.909893599259399</v>
      </c>
      <c r="V565" s="6">
        <v>22.7</v>
      </c>
      <c r="W565" s="2">
        <v>18.3</v>
      </c>
      <c r="X565" s="10">
        <v>338.822953697779</v>
      </c>
      <c r="Y565" s="11">
        <v>93.6345726790462</v>
      </c>
      <c r="Z565" s="5">
        <v>0.759936688121127</v>
      </c>
    </row>
    <row r="566" spans="2:26">
      <c r="B566" s="2">
        <v>55</v>
      </c>
      <c r="C566" s="2">
        <v>10</v>
      </c>
      <c r="D566" s="2">
        <v>0.03</v>
      </c>
      <c r="E566" s="2">
        <v>1</v>
      </c>
      <c r="F566" s="2">
        <v>1</v>
      </c>
      <c r="G566" s="2">
        <v>22.2</v>
      </c>
      <c r="H566" s="5">
        <v>0.89760467536325</v>
      </c>
      <c r="I566" s="6">
        <v>22.7</v>
      </c>
      <c r="J566" s="2">
        <v>20.6</v>
      </c>
      <c r="K566" s="6">
        <v>384.675024928182</v>
      </c>
      <c r="L566" s="10">
        <v>105.032166329259</v>
      </c>
      <c r="M566" s="11">
        <v>0.771977795660157</v>
      </c>
      <c r="O566" s="2">
        <v>55</v>
      </c>
      <c r="P566" s="2">
        <v>10</v>
      </c>
      <c r="Q566" s="2">
        <v>0.03</v>
      </c>
      <c r="R566" s="2">
        <v>1</v>
      </c>
      <c r="S566" s="2">
        <v>1</v>
      </c>
      <c r="T566" s="2">
        <v>22.2</v>
      </c>
      <c r="U566" s="19">
        <v>0.89760467536325</v>
      </c>
      <c r="V566" s="6">
        <v>22.7</v>
      </c>
      <c r="W566" s="2">
        <v>20.6</v>
      </c>
      <c r="X566" s="10">
        <v>384.675024928182</v>
      </c>
      <c r="Y566" s="11">
        <v>105.032166329259</v>
      </c>
      <c r="Z566" s="5">
        <v>0.771977795660157</v>
      </c>
    </row>
    <row r="567" spans="2:26">
      <c r="B567" s="2">
        <v>57.5</v>
      </c>
      <c r="C567" s="2">
        <v>10</v>
      </c>
      <c r="D567" s="2">
        <v>0.03</v>
      </c>
      <c r="E567" s="2">
        <v>1</v>
      </c>
      <c r="F567" s="2">
        <v>1</v>
      </c>
      <c r="G567" s="2">
        <v>22.2</v>
      </c>
      <c r="H567" s="5">
        <v>0.883786850160418</v>
      </c>
      <c r="I567" s="6">
        <v>22.7</v>
      </c>
      <c r="J567" s="2">
        <v>23.1</v>
      </c>
      <c r="K567" s="6">
        <v>434.681803461122</v>
      </c>
      <c r="L567" s="10">
        <v>118.686081816605</v>
      </c>
      <c r="M567" s="11">
        <v>0.782151442075773</v>
      </c>
      <c r="O567" s="2">
        <v>57.5</v>
      </c>
      <c r="P567" s="2">
        <v>10</v>
      </c>
      <c r="Q567" s="2">
        <v>0.03</v>
      </c>
      <c r="R567" s="2">
        <v>1</v>
      </c>
      <c r="S567" s="2">
        <v>1</v>
      </c>
      <c r="T567" s="2">
        <v>22.2</v>
      </c>
      <c r="U567" s="19">
        <v>0.883786850160418</v>
      </c>
      <c r="V567" s="6">
        <v>22.7</v>
      </c>
      <c r="W567" s="2">
        <v>23.1</v>
      </c>
      <c r="X567" s="10">
        <v>434.681803461122</v>
      </c>
      <c r="Y567" s="11">
        <v>118.686081816605</v>
      </c>
      <c r="Z567" s="5">
        <v>0.782151442075773</v>
      </c>
    </row>
    <row r="568" spans="2:26">
      <c r="B568" s="2">
        <v>60</v>
      </c>
      <c r="C568" s="2">
        <v>10</v>
      </c>
      <c r="D568" s="2">
        <v>0.03</v>
      </c>
      <c r="E568" s="2">
        <v>1</v>
      </c>
      <c r="F568" s="2">
        <v>1</v>
      </c>
      <c r="G568" s="2">
        <v>22.2</v>
      </c>
      <c r="H568" s="5">
        <v>0.868253123396246</v>
      </c>
      <c r="I568" s="6">
        <v>22.7</v>
      </c>
      <c r="J568" s="2">
        <v>26.2</v>
      </c>
      <c r="K568" s="6">
        <v>492.678462259442</v>
      </c>
      <c r="L568" s="10">
        <v>139.554604483403</v>
      </c>
      <c r="M568" s="11">
        <v>0.802486378356979</v>
      </c>
      <c r="O568" s="2">
        <v>60</v>
      </c>
      <c r="P568" s="2">
        <v>10</v>
      </c>
      <c r="Q568" s="2">
        <v>0.03</v>
      </c>
      <c r="R568" s="2">
        <v>1</v>
      </c>
      <c r="S568" s="2">
        <v>1</v>
      </c>
      <c r="T568" s="2">
        <v>22.2</v>
      </c>
      <c r="U568" s="19">
        <v>0.868253123396246</v>
      </c>
      <c r="V568" s="6">
        <v>22.7</v>
      </c>
      <c r="W568" s="2">
        <v>26.2</v>
      </c>
      <c r="X568" s="10">
        <v>492.678462259442</v>
      </c>
      <c r="Y568" s="11">
        <v>139.554604483403</v>
      </c>
      <c r="Z568" s="5">
        <v>0.802486378356979</v>
      </c>
    </row>
    <row r="569" spans="2:26">
      <c r="B569" s="2">
        <v>62.5</v>
      </c>
      <c r="C569" s="2">
        <v>10</v>
      </c>
      <c r="D569" s="2">
        <v>0.03</v>
      </c>
      <c r="E569" s="2">
        <v>1</v>
      </c>
      <c r="F569" s="2">
        <v>1</v>
      </c>
      <c r="G569" s="2">
        <v>22.2</v>
      </c>
      <c r="H569" s="5">
        <v>0.850790029374404</v>
      </c>
      <c r="I569" s="6">
        <v>22.7</v>
      </c>
      <c r="J569" s="2">
        <v>29.5</v>
      </c>
      <c r="K569" s="6">
        <v>555.218873641945</v>
      </c>
      <c r="L569" s="10">
        <v>165.632749633921</v>
      </c>
      <c r="M569" s="11">
        <v>0.818318306014218</v>
      </c>
      <c r="O569" s="2">
        <v>62.5</v>
      </c>
      <c r="P569" s="2">
        <v>10</v>
      </c>
      <c r="Q569" s="2">
        <v>0.03</v>
      </c>
      <c r="R569" s="2">
        <v>1</v>
      </c>
      <c r="S569" s="2">
        <v>1</v>
      </c>
      <c r="T569" s="2">
        <v>22.2</v>
      </c>
      <c r="U569" s="19">
        <v>0.850790029374404</v>
      </c>
      <c r="V569" s="6">
        <v>22.7</v>
      </c>
      <c r="W569" s="2">
        <v>29.5</v>
      </c>
      <c r="X569" s="10">
        <v>555.218873641945</v>
      </c>
      <c r="Y569" s="11">
        <v>165.632749633921</v>
      </c>
      <c r="Z569" s="5">
        <v>0.818318306014218</v>
      </c>
    </row>
    <row r="570" spans="2:26">
      <c r="B570" s="2">
        <v>45</v>
      </c>
      <c r="C570" s="2">
        <v>5</v>
      </c>
      <c r="D570" s="2">
        <v>0.15</v>
      </c>
      <c r="E570" s="2">
        <v>1</v>
      </c>
      <c r="F570" s="2">
        <v>1</v>
      </c>
      <c r="G570" s="2">
        <v>23.2</v>
      </c>
      <c r="H570" s="5">
        <v>0.93913980595102</v>
      </c>
      <c r="I570" s="6">
        <v>23.3</v>
      </c>
      <c r="J570" s="2">
        <v>0.900000000000002</v>
      </c>
      <c r="K570" s="6">
        <v>94.90042659491</v>
      </c>
      <c r="L570" s="10">
        <v>24.3745095925028</v>
      </c>
      <c r="M570" s="11">
        <v>0.513055740830009</v>
      </c>
      <c r="O570" s="2">
        <v>45</v>
      </c>
      <c r="P570" s="2">
        <v>5</v>
      </c>
      <c r="Q570" s="2">
        <v>0.15</v>
      </c>
      <c r="R570" s="2">
        <v>1</v>
      </c>
      <c r="S570" s="2">
        <v>1</v>
      </c>
      <c r="T570" s="2">
        <v>23.2</v>
      </c>
      <c r="U570" s="19">
        <v>0.93913980595102</v>
      </c>
      <c r="V570" s="6">
        <v>23.3</v>
      </c>
      <c r="W570" s="2">
        <v>0.900000000000002</v>
      </c>
      <c r="X570" s="10">
        <v>94.90042659491</v>
      </c>
      <c r="Y570" s="11">
        <v>24.3745095925028</v>
      </c>
      <c r="Z570" s="5">
        <v>0.513055740830009</v>
      </c>
    </row>
    <row r="571" spans="2:26">
      <c r="B571" s="2">
        <v>47.5</v>
      </c>
      <c r="C571" s="2">
        <v>5</v>
      </c>
      <c r="D571" s="2">
        <v>0.15</v>
      </c>
      <c r="E571" s="2">
        <v>1</v>
      </c>
      <c r="F571" s="2">
        <v>1</v>
      </c>
      <c r="G571" s="2">
        <v>23.2</v>
      </c>
      <c r="H571" s="5">
        <v>0.930523923822277</v>
      </c>
      <c r="I571" s="6">
        <v>23.3</v>
      </c>
      <c r="J571" s="2">
        <v>1.1</v>
      </c>
      <c r="K571" s="6">
        <v>113.486279572597</v>
      </c>
      <c r="L571" s="10">
        <v>26.7588727324431</v>
      </c>
      <c r="M571" s="11">
        <v>0.563626622847164</v>
      </c>
      <c r="O571" s="2">
        <v>47.5</v>
      </c>
      <c r="P571" s="2">
        <v>5</v>
      </c>
      <c r="Q571" s="2">
        <v>0.15</v>
      </c>
      <c r="R571" s="2">
        <v>1</v>
      </c>
      <c r="S571" s="2">
        <v>1</v>
      </c>
      <c r="T571" s="2">
        <v>23.2</v>
      </c>
      <c r="U571" s="19">
        <v>0.930523923822277</v>
      </c>
      <c r="V571" s="6">
        <v>23.3</v>
      </c>
      <c r="W571" s="2">
        <v>1.1</v>
      </c>
      <c r="X571" s="10">
        <v>113.486279572597</v>
      </c>
      <c r="Y571" s="11">
        <v>26.7588727324431</v>
      </c>
      <c r="Z571" s="5">
        <v>0.563626622847164</v>
      </c>
    </row>
    <row r="572" spans="2:26">
      <c r="B572" s="2">
        <v>50</v>
      </c>
      <c r="C572" s="2">
        <v>5</v>
      </c>
      <c r="D572" s="2">
        <v>0.15</v>
      </c>
      <c r="E572" s="2">
        <v>1</v>
      </c>
      <c r="F572" s="2">
        <v>1</v>
      </c>
      <c r="G572" s="2">
        <v>23.2</v>
      </c>
      <c r="H572" s="5">
        <v>0.920818198615511</v>
      </c>
      <c r="I572" s="6">
        <v>23.3</v>
      </c>
      <c r="J572" s="2">
        <v>1.3</v>
      </c>
      <c r="K572" s="6">
        <v>132.984382459523</v>
      </c>
      <c r="L572" s="10">
        <v>29.0118704959984</v>
      </c>
      <c r="M572" s="11">
        <v>0.599553649699157</v>
      </c>
      <c r="O572" s="2">
        <v>50</v>
      </c>
      <c r="P572" s="2">
        <v>5</v>
      </c>
      <c r="Q572" s="2">
        <v>0.15</v>
      </c>
      <c r="R572" s="2">
        <v>1</v>
      </c>
      <c r="S572" s="2">
        <v>1</v>
      </c>
      <c r="T572" s="2">
        <v>23.2</v>
      </c>
      <c r="U572" s="19">
        <v>0.920818198615511</v>
      </c>
      <c r="V572" s="6">
        <v>23.3</v>
      </c>
      <c r="W572" s="2">
        <v>1.3</v>
      </c>
      <c r="X572" s="10">
        <v>132.984382459523</v>
      </c>
      <c r="Y572" s="11">
        <v>29.0118704959984</v>
      </c>
      <c r="Z572" s="5">
        <v>0.599553649699157</v>
      </c>
    </row>
    <row r="573" spans="2:26">
      <c r="B573" s="2">
        <v>52.5</v>
      </c>
      <c r="C573" s="2">
        <v>5</v>
      </c>
      <c r="D573" s="2">
        <v>0.15</v>
      </c>
      <c r="E573" s="2">
        <v>1</v>
      </c>
      <c r="F573" s="2">
        <v>1</v>
      </c>
      <c r="G573" s="2">
        <v>23.2</v>
      </c>
      <c r="H573" s="5">
        <v>0.909893599259399</v>
      </c>
      <c r="I573" s="6">
        <v>23.3</v>
      </c>
      <c r="J573" s="2">
        <v>1.6</v>
      </c>
      <c r="K573" s="6">
        <v>158.031912727404</v>
      </c>
      <c r="L573" s="10">
        <v>32.2019653519996</v>
      </c>
      <c r="M573" s="11">
        <v>0.665066807432451</v>
      </c>
      <c r="O573" s="2">
        <v>52.5</v>
      </c>
      <c r="P573" s="2">
        <v>5</v>
      </c>
      <c r="Q573" s="2">
        <v>0.15</v>
      </c>
      <c r="R573" s="2">
        <v>1</v>
      </c>
      <c r="S573" s="2">
        <v>1</v>
      </c>
      <c r="T573" s="2">
        <v>23.2</v>
      </c>
      <c r="U573" s="19">
        <v>0.909893599259399</v>
      </c>
      <c r="V573" s="6">
        <v>23.3</v>
      </c>
      <c r="W573" s="2">
        <v>1.6</v>
      </c>
      <c r="X573" s="10">
        <v>158.031912727404</v>
      </c>
      <c r="Y573" s="11">
        <v>32.2019653519996</v>
      </c>
      <c r="Z573" s="5">
        <v>0.665066807432451</v>
      </c>
    </row>
    <row r="574" spans="2:26">
      <c r="B574" s="2">
        <v>55</v>
      </c>
      <c r="C574" s="2">
        <v>5</v>
      </c>
      <c r="D574" s="2">
        <v>0.15</v>
      </c>
      <c r="E574" s="2">
        <v>1</v>
      </c>
      <c r="F574" s="2">
        <v>1</v>
      </c>
      <c r="G574" s="2">
        <v>23.2</v>
      </c>
      <c r="H574" s="5">
        <v>0.89760467536325</v>
      </c>
      <c r="I574" s="6">
        <v>23.3</v>
      </c>
      <c r="J574" s="2">
        <v>2</v>
      </c>
      <c r="K574" s="6">
        <v>188.713575801594</v>
      </c>
      <c r="L574" s="10">
        <v>36.199289007219</v>
      </c>
      <c r="M574" s="11">
        <v>0.750213500859063</v>
      </c>
      <c r="O574" s="2">
        <v>55</v>
      </c>
      <c r="P574" s="2">
        <v>5</v>
      </c>
      <c r="Q574" s="2">
        <v>0.15</v>
      </c>
      <c r="R574" s="2">
        <v>1</v>
      </c>
      <c r="S574" s="2">
        <v>1</v>
      </c>
      <c r="T574" s="2">
        <v>23.2</v>
      </c>
      <c r="U574" s="19">
        <v>0.89760467536325</v>
      </c>
      <c r="V574" s="6">
        <v>23.3</v>
      </c>
      <c r="W574" s="2">
        <v>2</v>
      </c>
      <c r="X574" s="10">
        <v>188.713575801594</v>
      </c>
      <c r="Y574" s="11">
        <v>36.199289007219</v>
      </c>
      <c r="Z574" s="5">
        <v>0.750213500859063</v>
      </c>
    </row>
    <row r="575" spans="2:26">
      <c r="B575" s="2">
        <v>57.5</v>
      </c>
      <c r="C575" s="2">
        <v>5</v>
      </c>
      <c r="D575" s="2">
        <v>0.15</v>
      </c>
      <c r="E575" s="2">
        <v>1</v>
      </c>
      <c r="F575" s="2">
        <v>1</v>
      </c>
      <c r="G575" s="2">
        <v>23.2</v>
      </c>
      <c r="H575" s="5">
        <v>0.883786850160418</v>
      </c>
      <c r="I575" s="6">
        <v>23.3</v>
      </c>
      <c r="J575" s="2">
        <v>2.3</v>
      </c>
      <c r="K575" s="6">
        <v>216.004442149582</v>
      </c>
      <c r="L575" s="10">
        <v>39.0590269227634</v>
      </c>
      <c r="M575" s="11">
        <v>0.779511153751303</v>
      </c>
      <c r="O575" s="2">
        <v>57.5</v>
      </c>
      <c r="P575" s="2">
        <v>5</v>
      </c>
      <c r="Q575" s="2">
        <v>0.15</v>
      </c>
      <c r="R575" s="2">
        <v>1</v>
      </c>
      <c r="S575" s="2">
        <v>1</v>
      </c>
      <c r="T575" s="2">
        <v>23.2</v>
      </c>
      <c r="U575" s="19">
        <v>0.883786850160418</v>
      </c>
      <c r="V575" s="6">
        <v>23.3</v>
      </c>
      <c r="W575" s="2">
        <v>2.3</v>
      </c>
      <c r="X575" s="10">
        <v>216.004442149582</v>
      </c>
      <c r="Y575" s="11">
        <v>39.0590269227634</v>
      </c>
      <c r="Z575" s="5">
        <v>0.779511153751303</v>
      </c>
    </row>
    <row r="576" spans="2:26">
      <c r="B576" s="2">
        <v>60</v>
      </c>
      <c r="C576" s="2">
        <v>5</v>
      </c>
      <c r="D576" s="2">
        <v>0.15</v>
      </c>
      <c r="E576" s="2">
        <v>1</v>
      </c>
      <c r="F576" s="2">
        <v>1</v>
      </c>
      <c r="G576" s="2">
        <v>23.2</v>
      </c>
      <c r="H576" s="5">
        <v>0.868253123396246</v>
      </c>
      <c r="I576" s="6">
        <v>23.3</v>
      </c>
      <c r="J576" s="2">
        <v>2.7</v>
      </c>
      <c r="K576" s="6">
        <v>249.113819722089</v>
      </c>
      <c r="L576" s="10">
        <v>42.7294858848944</v>
      </c>
      <c r="M576" s="11">
        <v>0.827778455017055</v>
      </c>
      <c r="O576" s="2">
        <v>60</v>
      </c>
      <c r="P576" s="2">
        <v>5</v>
      </c>
      <c r="Q576" s="2">
        <v>0.15</v>
      </c>
      <c r="R576" s="2">
        <v>1</v>
      </c>
      <c r="S576" s="2">
        <v>1</v>
      </c>
      <c r="T576" s="2">
        <v>23.2</v>
      </c>
      <c r="U576" s="19">
        <v>0.868253123396246</v>
      </c>
      <c r="V576" s="6">
        <v>23.3</v>
      </c>
      <c r="W576" s="2">
        <v>2.7</v>
      </c>
      <c r="X576" s="10">
        <v>249.113819722089</v>
      </c>
      <c r="Y576" s="11">
        <v>42.7294858848944</v>
      </c>
      <c r="Z576" s="5">
        <v>0.827778455017055</v>
      </c>
    </row>
    <row r="577" spans="2:26">
      <c r="B577" s="2">
        <v>62.5</v>
      </c>
      <c r="C577" s="2">
        <v>5</v>
      </c>
      <c r="D577" s="2">
        <v>0.15</v>
      </c>
      <c r="E577" s="2">
        <v>1</v>
      </c>
      <c r="F577" s="2">
        <v>1</v>
      </c>
      <c r="G577" s="2">
        <v>23.2</v>
      </c>
      <c r="H577" s="5">
        <v>0.850790029374404</v>
      </c>
      <c r="I577" s="6">
        <v>23.3</v>
      </c>
      <c r="J577" s="2">
        <v>3</v>
      </c>
      <c r="K577" s="6">
        <v>279.027036321991</v>
      </c>
      <c r="L577" s="10">
        <v>45.4336396058801</v>
      </c>
      <c r="M577" s="11">
        <v>0.832978599976915</v>
      </c>
      <c r="O577" s="2">
        <v>62.5</v>
      </c>
      <c r="P577" s="2">
        <v>5</v>
      </c>
      <c r="Q577" s="2">
        <v>0.15</v>
      </c>
      <c r="R577" s="2">
        <v>1</v>
      </c>
      <c r="S577" s="2">
        <v>1</v>
      </c>
      <c r="T577" s="2">
        <v>23.2</v>
      </c>
      <c r="U577" s="19">
        <v>0.850790029374404</v>
      </c>
      <c r="V577" s="6">
        <v>23.3</v>
      </c>
      <c r="W577" s="2">
        <v>3</v>
      </c>
      <c r="X577" s="10">
        <v>279.027036321991</v>
      </c>
      <c r="Y577" s="11">
        <v>45.4336396058801</v>
      </c>
      <c r="Z577" s="5">
        <v>0.832978599976915</v>
      </c>
    </row>
    <row r="578" spans="2:26">
      <c r="B578" s="2">
        <v>65</v>
      </c>
      <c r="C578" s="2">
        <v>5</v>
      </c>
      <c r="D578" s="2">
        <v>0.15</v>
      </c>
      <c r="E578" s="2">
        <v>1</v>
      </c>
      <c r="F578" s="2">
        <v>1</v>
      </c>
      <c r="G578" s="2">
        <v>23.2</v>
      </c>
      <c r="H578" s="5">
        <v>0.831152647810126</v>
      </c>
      <c r="I578" s="6">
        <v>23.4</v>
      </c>
      <c r="J578" s="2">
        <v>3.4</v>
      </c>
      <c r="K578" s="6">
        <v>314.820635036515</v>
      </c>
      <c r="L578" s="10">
        <v>43.3290060660557</v>
      </c>
      <c r="M578" s="11">
        <v>0.856094302203649</v>
      </c>
      <c r="O578" s="2">
        <v>65</v>
      </c>
      <c r="P578" s="2">
        <v>5</v>
      </c>
      <c r="Q578" s="2">
        <v>0.15</v>
      </c>
      <c r="R578" s="2">
        <v>1</v>
      </c>
      <c r="S578" s="2">
        <v>1</v>
      </c>
      <c r="T578" s="2">
        <v>23.2</v>
      </c>
      <c r="U578" s="19">
        <v>0.831152647810126</v>
      </c>
      <c r="V578" s="6">
        <v>23.4</v>
      </c>
      <c r="W578" s="2">
        <v>3.4</v>
      </c>
      <c r="X578" s="10">
        <v>314.820635036515</v>
      </c>
      <c r="Y578" s="11">
        <v>43.3290060660557</v>
      </c>
      <c r="Z578" s="5">
        <v>0.856094302203649</v>
      </c>
    </row>
    <row r="579" spans="2:26">
      <c r="B579" s="2">
        <v>67.5</v>
      </c>
      <c r="C579" s="2">
        <v>5</v>
      </c>
      <c r="D579" s="2">
        <v>0.15</v>
      </c>
      <c r="E579" s="2">
        <v>1</v>
      </c>
      <c r="F579" s="2">
        <v>1</v>
      </c>
      <c r="G579" s="2">
        <v>23.2</v>
      </c>
      <c r="H579" s="5">
        <v>0.809058400419842</v>
      </c>
      <c r="I579" s="6">
        <v>23.4</v>
      </c>
      <c r="J579" s="2">
        <v>3.9</v>
      </c>
      <c r="K579" s="6">
        <v>356.89374985694</v>
      </c>
      <c r="L579" s="10">
        <v>47.126556312686</v>
      </c>
      <c r="M579" s="11">
        <v>0.891381011117207</v>
      </c>
      <c r="O579" s="2">
        <v>67.5</v>
      </c>
      <c r="P579" s="2">
        <v>5</v>
      </c>
      <c r="Q579" s="2">
        <v>0.15</v>
      </c>
      <c r="R579" s="2">
        <v>1</v>
      </c>
      <c r="S579" s="2">
        <v>1</v>
      </c>
      <c r="T579" s="2">
        <v>23.2</v>
      </c>
      <c r="U579" s="19">
        <v>0.809058400419842</v>
      </c>
      <c r="V579" s="6">
        <v>23.4</v>
      </c>
      <c r="W579" s="2">
        <v>3.9</v>
      </c>
      <c r="X579" s="10">
        <v>356.89374985694</v>
      </c>
      <c r="Y579" s="11">
        <v>47.126556312686</v>
      </c>
      <c r="Z579" s="5">
        <v>0.891381011117207</v>
      </c>
    </row>
    <row r="580" spans="2:26">
      <c r="B580" s="2">
        <v>70</v>
      </c>
      <c r="C580" s="2">
        <v>5</v>
      </c>
      <c r="D580" s="2">
        <v>0.15</v>
      </c>
      <c r="E580" s="2">
        <v>1</v>
      </c>
      <c r="F580" s="2">
        <v>1</v>
      </c>
      <c r="G580" s="2">
        <v>23.2</v>
      </c>
      <c r="H580" s="5">
        <v>0.784179277129304</v>
      </c>
      <c r="I580" s="6">
        <v>23.4</v>
      </c>
      <c r="J580" s="2">
        <v>4.2</v>
      </c>
      <c r="K580" s="6">
        <v>391.545469852931</v>
      </c>
      <c r="L580" s="10">
        <v>49.5091900953193</v>
      </c>
      <c r="M580" s="11">
        <v>0.872359587946335</v>
      </c>
      <c r="O580" s="2">
        <v>70</v>
      </c>
      <c r="P580" s="2">
        <v>5</v>
      </c>
      <c r="Q580" s="2">
        <v>0.15</v>
      </c>
      <c r="R580" s="2">
        <v>1</v>
      </c>
      <c r="S580" s="2">
        <v>1</v>
      </c>
      <c r="T580" s="2">
        <v>23.2</v>
      </c>
      <c r="U580" s="19">
        <v>0.784179277129304</v>
      </c>
      <c r="V580" s="6">
        <v>23.4</v>
      </c>
      <c r="W580" s="2">
        <v>4.2</v>
      </c>
      <c r="X580" s="10">
        <v>391.545469852931</v>
      </c>
      <c r="Y580" s="11">
        <v>49.5091900953193</v>
      </c>
      <c r="Z580" s="5">
        <v>0.872359587946335</v>
      </c>
    </row>
    <row r="581" spans="2:26">
      <c r="B581" s="2">
        <v>45</v>
      </c>
      <c r="C581" s="2">
        <v>6.4</v>
      </c>
      <c r="D581" s="2">
        <v>0.15</v>
      </c>
      <c r="E581" s="2">
        <v>1</v>
      </c>
      <c r="F581" s="2">
        <v>1</v>
      </c>
      <c r="G581" s="2">
        <v>23.5</v>
      </c>
      <c r="H581" s="5">
        <v>0.93913980595102</v>
      </c>
      <c r="I581" s="6">
        <v>23.6</v>
      </c>
      <c r="J581" s="2">
        <v>1</v>
      </c>
      <c r="K581" s="6">
        <v>113.94732370888</v>
      </c>
      <c r="L581" s="10">
        <v>29.732487313651</v>
      </c>
      <c r="M581" s="11">
        <v>0.44557822437468</v>
      </c>
      <c r="O581" s="2">
        <v>45</v>
      </c>
      <c r="P581" s="2">
        <v>6.4</v>
      </c>
      <c r="Q581" s="2">
        <v>0.15</v>
      </c>
      <c r="R581" s="2">
        <v>1</v>
      </c>
      <c r="S581" s="2">
        <v>1</v>
      </c>
      <c r="T581" s="2">
        <v>23.5</v>
      </c>
      <c r="U581" s="19">
        <v>0.93913980595102</v>
      </c>
      <c r="V581" s="6">
        <v>23.6</v>
      </c>
      <c r="W581" s="2">
        <v>1</v>
      </c>
      <c r="X581" s="10">
        <v>113.94732370888</v>
      </c>
      <c r="Y581" s="11">
        <v>29.732487313651</v>
      </c>
      <c r="Z581" s="5">
        <v>0.44557822437468</v>
      </c>
    </row>
    <row r="582" spans="2:26">
      <c r="B582" s="2">
        <v>47.5</v>
      </c>
      <c r="C582" s="2">
        <v>6.4</v>
      </c>
      <c r="D582" s="2">
        <v>0.15</v>
      </c>
      <c r="E582" s="2">
        <v>1</v>
      </c>
      <c r="F582" s="2">
        <v>1</v>
      </c>
      <c r="G582" s="2">
        <v>23.5</v>
      </c>
      <c r="H582" s="5">
        <v>0.930523923822277</v>
      </c>
      <c r="I582" s="6">
        <v>23.6</v>
      </c>
      <c r="J582" s="2">
        <v>1.6</v>
      </c>
      <c r="K582" s="6">
        <v>153.418787347729</v>
      </c>
      <c r="L582" s="10">
        <v>37.23085985788</v>
      </c>
      <c r="M582" s="11">
        <v>0.640796092387775</v>
      </c>
      <c r="O582" s="2">
        <v>47.5</v>
      </c>
      <c r="P582" s="2">
        <v>6.4</v>
      </c>
      <c r="Q582" s="2">
        <v>0.15</v>
      </c>
      <c r="R582" s="2">
        <v>1</v>
      </c>
      <c r="S582" s="2">
        <v>1</v>
      </c>
      <c r="T582" s="2">
        <v>23.5</v>
      </c>
      <c r="U582" s="19">
        <v>0.930523923822277</v>
      </c>
      <c r="V582" s="6">
        <v>23.6</v>
      </c>
      <c r="W582" s="2">
        <v>1.6</v>
      </c>
      <c r="X582" s="10">
        <v>153.418787347729</v>
      </c>
      <c r="Y582" s="11">
        <v>37.23085985788</v>
      </c>
      <c r="Z582" s="5">
        <v>0.640796092387775</v>
      </c>
    </row>
    <row r="583" spans="2:26">
      <c r="B583" s="2">
        <v>50</v>
      </c>
      <c r="C583" s="2">
        <v>6.4</v>
      </c>
      <c r="D583" s="2">
        <v>0.15</v>
      </c>
      <c r="E583" s="2">
        <v>1</v>
      </c>
      <c r="F583" s="2">
        <v>1</v>
      </c>
      <c r="G583" s="2">
        <v>23.5</v>
      </c>
      <c r="H583" s="5">
        <v>0.920818198615511</v>
      </c>
      <c r="I583" s="6">
        <v>23.6</v>
      </c>
      <c r="J583" s="2">
        <v>2</v>
      </c>
      <c r="K583" s="6">
        <v>184.943653919854</v>
      </c>
      <c r="L583" s="10">
        <v>41.6976555169973</v>
      </c>
      <c r="M583" s="11">
        <v>0.72096619498215</v>
      </c>
      <c r="O583" s="2">
        <v>50</v>
      </c>
      <c r="P583" s="2">
        <v>6.4</v>
      </c>
      <c r="Q583" s="2">
        <v>0.15</v>
      </c>
      <c r="R583" s="2">
        <v>1</v>
      </c>
      <c r="S583" s="2">
        <v>1</v>
      </c>
      <c r="T583" s="2">
        <v>23.5</v>
      </c>
      <c r="U583" s="19">
        <v>0.920818198615511</v>
      </c>
      <c r="V583" s="6">
        <v>23.6</v>
      </c>
      <c r="W583" s="2">
        <v>2</v>
      </c>
      <c r="X583" s="10">
        <v>184.943653919854</v>
      </c>
      <c r="Y583" s="11">
        <v>41.6976555169973</v>
      </c>
      <c r="Z583" s="5">
        <v>0.72096619498215</v>
      </c>
    </row>
    <row r="584" spans="2:26">
      <c r="B584" s="2">
        <v>52.5</v>
      </c>
      <c r="C584" s="2">
        <v>6.4</v>
      </c>
      <c r="D584" s="2">
        <v>0.15</v>
      </c>
      <c r="E584" s="2">
        <v>1</v>
      </c>
      <c r="F584" s="2">
        <v>1</v>
      </c>
      <c r="G584" s="2">
        <v>23.5</v>
      </c>
      <c r="H584" s="5">
        <v>0.909893599259399</v>
      </c>
      <c r="I584" s="6">
        <v>23.6</v>
      </c>
      <c r="J584" s="2">
        <v>2.3</v>
      </c>
      <c r="K584" s="6">
        <v>213.181499052829</v>
      </c>
      <c r="L584" s="10">
        <v>44.7781219766418</v>
      </c>
      <c r="M584" s="11">
        <v>0.747261297862744</v>
      </c>
      <c r="O584" s="2">
        <v>52.5</v>
      </c>
      <c r="P584" s="2">
        <v>6.4</v>
      </c>
      <c r="Q584" s="2">
        <v>0.15</v>
      </c>
      <c r="R584" s="2">
        <v>1</v>
      </c>
      <c r="S584" s="2">
        <v>1</v>
      </c>
      <c r="T584" s="2">
        <v>23.5</v>
      </c>
      <c r="U584" s="19">
        <v>0.909893599259399</v>
      </c>
      <c r="V584" s="6">
        <v>23.6</v>
      </c>
      <c r="W584" s="2">
        <v>2.3</v>
      </c>
      <c r="X584" s="10">
        <v>213.181499052829</v>
      </c>
      <c r="Y584" s="11">
        <v>44.7781219766418</v>
      </c>
      <c r="Z584" s="5">
        <v>0.747261297862744</v>
      </c>
    </row>
    <row r="585" spans="2:26">
      <c r="B585" s="2">
        <v>55</v>
      </c>
      <c r="C585" s="2">
        <v>6.4</v>
      </c>
      <c r="D585" s="2">
        <v>0.15</v>
      </c>
      <c r="E585" s="2">
        <v>1</v>
      </c>
      <c r="F585" s="2">
        <v>1</v>
      </c>
      <c r="G585" s="2">
        <v>23.5</v>
      </c>
      <c r="H585" s="5">
        <v>0.89760467536325</v>
      </c>
      <c r="I585" s="6">
        <v>23.6</v>
      </c>
      <c r="J585" s="2">
        <v>2.6</v>
      </c>
      <c r="K585" s="6">
        <v>242.798069583318</v>
      </c>
      <c r="L585" s="10">
        <v>47.7707451843433</v>
      </c>
      <c r="M585" s="11">
        <v>0.762301463361899</v>
      </c>
      <c r="O585" s="2">
        <v>55</v>
      </c>
      <c r="P585" s="2">
        <v>6.4</v>
      </c>
      <c r="Q585" s="2">
        <v>0.15</v>
      </c>
      <c r="R585" s="2">
        <v>1</v>
      </c>
      <c r="S585" s="2">
        <v>1</v>
      </c>
      <c r="T585" s="2">
        <v>23.5</v>
      </c>
      <c r="U585" s="19">
        <v>0.89760467536325</v>
      </c>
      <c r="V585" s="6">
        <v>23.6</v>
      </c>
      <c r="W585" s="2">
        <v>2.6</v>
      </c>
      <c r="X585" s="10">
        <v>242.798069583318</v>
      </c>
      <c r="Y585" s="11">
        <v>47.7707451843433</v>
      </c>
      <c r="Z585" s="5">
        <v>0.762301463361899</v>
      </c>
    </row>
    <row r="586" spans="2:26">
      <c r="B586" s="2">
        <v>57.5</v>
      </c>
      <c r="C586" s="2">
        <v>6.4</v>
      </c>
      <c r="D586" s="2">
        <v>0.15</v>
      </c>
      <c r="E586" s="2">
        <v>1</v>
      </c>
      <c r="F586" s="2">
        <v>1</v>
      </c>
      <c r="G586" s="2">
        <v>23.5</v>
      </c>
      <c r="H586" s="5">
        <v>0.883786850160418</v>
      </c>
      <c r="I586" s="6">
        <v>23.6</v>
      </c>
      <c r="J586" s="2">
        <v>3</v>
      </c>
      <c r="K586" s="6">
        <v>278.465448443498</v>
      </c>
      <c r="L586" s="10">
        <v>51.6969960306178</v>
      </c>
      <c r="M586" s="11">
        <v>0.794718727661422</v>
      </c>
      <c r="O586" s="2">
        <v>57.5</v>
      </c>
      <c r="P586" s="2">
        <v>6.4</v>
      </c>
      <c r="Q586" s="2">
        <v>0.15</v>
      </c>
      <c r="R586" s="2">
        <v>1</v>
      </c>
      <c r="S586" s="2">
        <v>1</v>
      </c>
      <c r="T586" s="2">
        <v>23.5</v>
      </c>
      <c r="U586" s="19">
        <v>0.883786850160418</v>
      </c>
      <c r="V586" s="6">
        <v>23.6</v>
      </c>
      <c r="W586" s="2">
        <v>3</v>
      </c>
      <c r="X586" s="10">
        <v>278.465448443498</v>
      </c>
      <c r="Y586" s="11">
        <v>51.6969960306178</v>
      </c>
      <c r="Z586" s="5">
        <v>0.794718727661422</v>
      </c>
    </row>
    <row r="587" spans="2:26">
      <c r="B587" s="2">
        <v>60</v>
      </c>
      <c r="C587" s="2">
        <v>6.4</v>
      </c>
      <c r="D587" s="2">
        <v>0.15</v>
      </c>
      <c r="E587" s="2">
        <v>1</v>
      </c>
      <c r="F587" s="2">
        <v>1</v>
      </c>
      <c r="G587" s="2">
        <v>23.4</v>
      </c>
      <c r="H587" s="5">
        <v>0.868253123396246</v>
      </c>
      <c r="I587" s="6">
        <v>23.6</v>
      </c>
      <c r="J587" s="2">
        <v>3.4</v>
      </c>
      <c r="K587" s="6">
        <v>315.747628130826</v>
      </c>
      <c r="L587" s="10">
        <v>48.9120611881007</v>
      </c>
      <c r="M587" s="11">
        <v>0.814753326362313</v>
      </c>
      <c r="O587" s="2">
        <v>60</v>
      </c>
      <c r="P587" s="2">
        <v>6.4</v>
      </c>
      <c r="Q587" s="2">
        <v>0.15</v>
      </c>
      <c r="R587" s="2">
        <v>1</v>
      </c>
      <c r="S587" s="2">
        <v>1</v>
      </c>
      <c r="T587" s="2">
        <v>23.4</v>
      </c>
      <c r="U587" s="19">
        <v>0.868253123396246</v>
      </c>
      <c r="V587" s="6">
        <v>23.6</v>
      </c>
      <c r="W587" s="2">
        <v>3.4</v>
      </c>
      <c r="X587" s="10">
        <v>315.747628130826</v>
      </c>
      <c r="Y587" s="11">
        <v>48.9120611881007</v>
      </c>
      <c r="Z587" s="5">
        <v>0.814753326362313</v>
      </c>
    </row>
    <row r="588" spans="2:26">
      <c r="B588" s="2">
        <v>62.5</v>
      </c>
      <c r="C588" s="2">
        <v>6.4</v>
      </c>
      <c r="D588" s="2">
        <v>0.15</v>
      </c>
      <c r="E588" s="2">
        <v>1</v>
      </c>
      <c r="F588" s="2">
        <v>1</v>
      </c>
      <c r="G588" s="2">
        <v>23.4</v>
      </c>
      <c r="H588" s="5">
        <v>0.850790029374404</v>
      </c>
      <c r="I588" s="6">
        <v>23.6</v>
      </c>
      <c r="J588" s="2">
        <v>3.7</v>
      </c>
      <c r="K588" s="6">
        <v>350.215242217146</v>
      </c>
      <c r="L588" s="10">
        <v>51.4990492143624</v>
      </c>
      <c r="M588" s="11">
        <v>0.802990424588908</v>
      </c>
      <c r="O588" s="2">
        <v>62.5</v>
      </c>
      <c r="P588" s="2">
        <v>6.4</v>
      </c>
      <c r="Q588" s="2">
        <v>0.15</v>
      </c>
      <c r="R588" s="2">
        <v>1</v>
      </c>
      <c r="S588" s="2">
        <v>1</v>
      </c>
      <c r="T588" s="2">
        <v>23.4</v>
      </c>
      <c r="U588" s="19">
        <v>0.850790029374404</v>
      </c>
      <c r="V588" s="6">
        <v>23.6</v>
      </c>
      <c r="W588" s="2">
        <v>3.7</v>
      </c>
      <c r="X588" s="10">
        <v>350.215242217146</v>
      </c>
      <c r="Y588" s="11">
        <v>51.4990492143624</v>
      </c>
      <c r="Z588" s="5">
        <v>0.802990424588908</v>
      </c>
    </row>
    <row r="589" spans="2:26">
      <c r="B589" s="2">
        <v>65</v>
      </c>
      <c r="C589" s="2">
        <v>6.4</v>
      </c>
      <c r="D589" s="2">
        <v>0.15</v>
      </c>
      <c r="E589" s="2">
        <v>1</v>
      </c>
      <c r="F589" s="2">
        <v>1</v>
      </c>
      <c r="G589" s="2">
        <v>23.4</v>
      </c>
      <c r="H589" s="5">
        <v>0.831152647810126</v>
      </c>
      <c r="I589" s="6">
        <v>23.6</v>
      </c>
      <c r="J589" s="2">
        <v>4.2</v>
      </c>
      <c r="K589" s="6">
        <v>395.674871062801</v>
      </c>
      <c r="L589" s="10">
        <v>55.6402749325119</v>
      </c>
      <c r="M589" s="11">
        <v>0.826454230571431</v>
      </c>
      <c r="O589" s="2">
        <v>65</v>
      </c>
      <c r="P589" s="2">
        <v>6.4</v>
      </c>
      <c r="Q589" s="2">
        <v>0.15</v>
      </c>
      <c r="R589" s="2">
        <v>1</v>
      </c>
      <c r="S589" s="2">
        <v>1</v>
      </c>
      <c r="T589" s="2">
        <v>23.4</v>
      </c>
      <c r="U589" s="19">
        <v>0.831152647810126</v>
      </c>
      <c r="V589" s="6">
        <v>23.6</v>
      </c>
      <c r="W589" s="2">
        <v>4.2</v>
      </c>
      <c r="X589" s="10">
        <v>395.674871062801</v>
      </c>
      <c r="Y589" s="11">
        <v>55.6402749325119</v>
      </c>
      <c r="Z589" s="5">
        <v>0.826454230571431</v>
      </c>
    </row>
    <row r="590" spans="2:26">
      <c r="B590" s="2">
        <v>67.5</v>
      </c>
      <c r="C590" s="2">
        <v>6.4</v>
      </c>
      <c r="D590" s="2">
        <v>0.15</v>
      </c>
      <c r="E590" s="2">
        <v>1</v>
      </c>
      <c r="F590" s="2">
        <v>1</v>
      </c>
      <c r="G590" s="2">
        <v>23.4</v>
      </c>
      <c r="H590" s="5">
        <v>0.809058400419842</v>
      </c>
      <c r="I590" s="6">
        <v>23.6</v>
      </c>
      <c r="J590" s="2">
        <v>4.9</v>
      </c>
      <c r="K590" s="6">
        <v>452.26812961279</v>
      </c>
      <c r="L590" s="10">
        <v>61.2082832003084</v>
      </c>
      <c r="M590" s="11">
        <v>0.87522787678501</v>
      </c>
      <c r="O590" s="2">
        <v>67.5</v>
      </c>
      <c r="P590" s="2">
        <v>6.4</v>
      </c>
      <c r="Q590" s="2">
        <v>0.15</v>
      </c>
      <c r="R590" s="2">
        <v>1</v>
      </c>
      <c r="S590" s="2">
        <v>1</v>
      </c>
      <c r="T590" s="2">
        <v>23.4</v>
      </c>
      <c r="U590" s="19">
        <v>0.809058400419842</v>
      </c>
      <c r="V590" s="6">
        <v>23.6</v>
      </c>
      <c r="W590" s="2">
        <v>4.9</v>
      </c>
      <c r="X590" s="10">
        <v>452.26812961279</v>
      </c>
      <c r="Y590" s="11">
        <v>61.2082832003084</v>
      </c>
      <c r="Z590" s="5">
        <v>0.87522787678501</v>
      </c>
    </row>
    <row r="591" spans="2:26">
      <c r="B591" s="2">
        <v>70</v>
      </c>
      <c r="C591" s="2">
        <v>6.4</v>
      </c>
      <c r="D591" s="2">
        <v>0.15</v>
      </c>
      <c r="E591" s="2">
        <v>1</v>
      </c>
      <c r="F591" s="2">
        <v>1</v>
      </c>
      <c r="G591" s="2">
        <v>23.4</v>
      </c>
      <c r="H591" s="5">
        <v>0.784179277129304</v>
      </c>
      <c r="I591" s="6">
        <v>23.6</v>
      </c>
      <c r="J591" s="2">
        <v>5.5</v>
      </c>
      <c r="K591" s="6">
        <v>506.471786864981</v>
      </c>
      <c r="L591" s="10">
        <v>65.9459209941499</v>
      </c>
      <c r="M591" s="11">
        <v>0.892759943773475</v>
      </c>
      <c r="O591" s="2">
        <v>70</v>
      </c>
      <c r="P591" s="2">
        <v>6.4</v>
      </c>
      <c r="Q591" s="2">
        <v>0.15</v>
      </c>
      <c r="R591" s="2">
        <v>1</v>
      </c>
      <c r="S591" s="2">
        <v>1</v>
      </c>
      <c r="T591" s="2">
        <v>23.4</v>
      </c>
      <c r="U591" s="19">
        <v>0.784179277129304</v>
      </c>
      <c r="V591" s="6">
        <v>23.6</v>
      </c>
      <c r="W591" s="2">
        <v>5.5</v>
      </c>
      <c r="X591" s="10">
        <v>506.471786864981</v>
      </c>
      <c r="Y591" s="11">
        <v>65.9459209941499</v>
      </c>
      <c r="Z591" s="5">
        <v>0.892759943773475</v>
      </c>
    </row>
    <row r="592" spans="2:26">
      <c r="B592" s="2">
        <v>45</v>
      </c>
      <c r="C592" s="2">
        <v>8.6</v>
      </c>
      <c r="D592" s="2">
        <v>0.15</v>
      </c>
      <c r="E592" s="2">
        <v>1</v>
      </c>
      <c r="F592" s="2">
        <v>1</v>
      </c>
      <c r="G592" s="2">
        <v>22.2</v>
      </c>
      <c r="H592" s="5">
        <v>0.93913980595102</v>
      </c>
      <c r="I592" s="6">
        <v>22.5</v>
      </c>
      <c r="J592" s="2">
        <v>1.9</v>
      </c>
      <c r="K592" s="6">
        <v>181.371263659987</v>
      </c>
      <c r="L592" s="10">
        <v>37.3635541312993</v>
      </c>
      <c r="M592" s="11">
        <v>0.628900095447196</v>
      </c>
      <c r="O592" s="2">
        <v>45</v>
      </c>
      <c r="P592" s="2">
        <v>8.6</v>
      </c>
      <c r="Q592" s="2">
        <v>0.15</v>
      </c>
      <c r="R592" s="2">
        <v>1</v>
      </c>
      <c r="S592" s="2">
        <v>1</v>
      </c>
      <c r="T592" s="2">
        <v>22.2</v>
      </c>
      <c r="U592" s="19">
        <v>0.93913980595102</v>
      </c>
      <c r="V592" s="6">
        <v>22.5</v>
      </c>
      <c r="W592" s="2">
        <v>1.9</v>
      </c>
      <c r="X592" s="10">
        <v>181.371263659987</v>
      </c>
      <c r="Y592" s="11">
        <v>37.3635541312993</v>
      </c>
      <c r="Z592" s="5">
        <v>0.628900095447196</v>
      </c>
    </row>
    <row r="593" spans="2:26">
      <c r="B593" s="2">
        <v>47.5</v>
      </c>
      <c r="C593" s="2">
        <v>8.6</v>
      </c>
      <c r="D593" s="2">
        <v>0.15</v>
      </c>
      <c r="E593" s="2">
        <v>1</v>
      </c>
      <c r="F593" s="2">
        <v>1</v>
      </c>
      <c r="G593" s="2">
        <v>22.2</v>
      </c>
      <c r="H593" s="5">
        <v>0.930523923822277</v>
      </c>
      <c r="I593" s="6">
        <v>22.5</v>
      </c>
      <c r="J593" s="2">
        <v>2.2</v>
      </c>
      <c r="K593" s="6">
        <v>211.318434906439</v>
      </c>
      <c r="L593" s="10">
        <v>40.2599194422906</v>
      </c>
      <c r="M593" s="11">
        <v>0.654530372445294</v>
      </c>
      <c r="O593" s="2">
        <v>47.5</v>
      </c>
      <c r="P593" s="2">
        <v>8.6</v>
      </c>
      <c r="Q593" s="2">
        <v>0.15</v>
      </c>
      <c r="R593" s="2">
        <v>1</v>
      </c>
      <c r="S593" s="2">
        <v>1</v>
      </c>
      <c r="T593" s="2">
        <v>22.2</v>
      </c>
      <c r="U593" s="19">
        <v>0.930523923822277</v>
      </c>
      <c r="V593" s="6">
        <v>22.5</v>
      </c>
      <c r="W593" s="2">
        <v>2.2</v>
      </c>
      <c r="X593" s="10">
        <v>211.318434906439</v>
      </c>
      <c r="Y593" s="11">
        <v>40.2599194422906</v>
      </c>
      <c r="Z593" s="5">
        <v>0.654530372445294</v>
      </c>
    </row>
    <row r="594" spans="2:26">
      <c r="B594" s="2">
        <v>50</v>
      </c>
      <c r="C594" s="2">
        <v>8.6</v>
      </c>
      <c r="D594" s="2">
        <v>0.15</v>
      </c>
      <c r="E594" s="2">
        <v>1</v>
      </c>
      <c r="F594" s="2">
        <v>1</v>
      </c>
      <c r="G594" s="2">
        <v>22.2</v>
      </c>
      <c r="H594" s="5">
        <v>0.920818198615511</v>
      </c>
      <c r="I594" s="6">
        <v>22.5</v>
      </c>
      <c r="J594" s="2">
        <v>2.7</v>
      </c>
      <c r="K594" s="6">
        <v>251.948227523971</v>
      </c>
      <c r="L594" s="10">
        <v>44.97317158933</v>
      </c>
      <c r="M594" s="11">
        <v>0.723034542755176</v>
      </c>
      <c r="O594" s="2">
        <v>50</v>
      </c>
      <c r="P594" s="2">
        <v>8.6</v>
      </c>
      <c r="Q594" s="2">
        <v>0.15</v>
      </c>
      <c r="R594" s="2">
        <v>1</v>
      </c>
      <c r="S594" s="2">
        <v>1</v>
      </c>
      <c r="T594" s="2">
        <v>22.2</v>
      </c>
      <c r="U594" s="19">
        <v>0.920818198615511</v>
      </c>
      <c r="V594" s="6">
        <v>22.5</v>
      </c>
      <c r="W594" s="2">
        <v>2.7</v>
      </c>
      <c r="X594" s="10">
        <v>251.948227523971</v>
      </c>
      <c r="Y594" s="11">
        <v>44.97317158933</v>
      </c>
      <c r="Z594" s="5">
        <v>0.723034542755176</v>
      </c>
    </row>
    <row r="595" spans="2:26">
      <c r="B595" s="2">
        <v>52.5</v>
      </c>
      <c r="C595" s="2">
        <v>8.6</v>
      </c>
      <c r="D595" s="2">
        <v>0.15</v>
      </c>
      <c r="E595" s="2">
        <v>1</v>
      </c>
      <c r="F595" s="2">
        <v>1</v>
      </c>
      <c r="G595" s="2">
        <v>22.2</v>
      </c>
      <c r="H595" s="5">
        <v>0.909893599259399</v>
      </c>
      <c r="I595" s="6">
        <v>22.5</v>
      </c>
      <c r="J595" s="2">
        <v>3.1</v>
      </c>
      <c r="K595" s="6">
        <v>289.726067958084</v>
      </c>
      <c r="L595" s="10">
        <v>48.544623487472</v>
      </c>
      <c r="M595" s="11">
        <v>0.748203650781473</v>
      </c>
      <c r="O595" s="2">
        <v>52.5</v>
      </c>
      <c r="P595" s="2">
        <v>8.6</v>
      </c>
      <c r="Q595" s="2">
        <v>0.15</v>
      </c>
      <c r="R595" s="2">
        <v>1</v>
      </c>
      <c r="S595" s="2">
        <v>1</v>
      </c>
      <c r="T595" s="2">
        <v>22.2</v>
      </c>
      <c r="U595" s="19">
        <v>0.909893599259399</v>
      </c>
      <c r="V595" s="6">
        <v>22.5</v>
      </c>
      <c r="W595" s="2">
        <v>3.1</v>
      </c>
      <c r="X595" s="10">
        <v>289.726067958084</v>
      </c>
      <c r="Y595" s="11">
        <v>48.544623487472</v>
      </c>
      <c r="Z595" s="5">
        <v>0.748203650781473</v>
      </c>
    </row>
    <row r="596" spans="2:26">
      <c r="B596" s="2">
        <v>55</v>
      </c>
      <c r="C596" s="2">
        <v>8.6</v>
      </c>
      <c r="D596" s="2">
        <v>0.15</v>
      </c>
      <c r="E596" s="2">
        <v>1</v>
      </c>
      <c r="F596" s="2">
        <v>1</v>
      </c>
      <c r="G596" s="2">
        <v>22.2</v>
      </c>
      <c r="H596" s="5">
        <v>0.89760467536325</v>
      </c>
      <c r="I596" s="6">
        <v>22.5</v>
      </c>
      <c r="J596" s="2">
        <v>3.5999999999999</v>
      </c>
      <c r="K596" s="6">
        <v>333.912123574756</v>
      </c>
      <c r="L596" s="10">
        <v>52.8960884024906</v>
      </c>
      <c r="M596" s="11">
        <v>0.784101809693746</v>
      </c>
      <c r="O596" s="2">
        <v>55</v>
      </c>
      <c r="P596" s="2">
        <v>8.6</v>
      </c>
      <c r="Q596" s="2">
        <v>0.15</v>
      </c>
      <c r="R596" s="2">
        <v>1</v>
      </c>
      <c r="S596" s="2">
        <v>1</v>
      </c>
      <c r="T596" s="2">
        <v>22.2</v>
      </c>
      <c r="U596" s="19">
        <v>0.89760467536325</v>
      </c>
      <c r="V596" s="6">
        <v>22.5</v>
      </c>
      <c r="W596" s="2">
        <v>3.5999999999999</v>
      </c>
      <c r="X596" s="10">
        <v>333.912123574756</v>
      </c>
      <c r="Y596" s="11">
        <v>52.8960884024906</v>
      </c>
      <c r="Z596" s="5">
        <v>0.784101809693746</v>
      </c>
    </row>
    <row r="597" spans="2:26">
      <c r="B597" s="2">
        <v>57.5</v>
      </c>
      <c r="C597" s="2">
        <v>8.6</v>
      </c>
      <c r="D597" s="2">
        <v>0.15</v>
      </c>
      <c r="E597" s="2">
        <v>1</v>
      </c>
      <c r="F597" s="2">
        <v>1</v>
      </c>
      <c r="G597" s="2">
        <v>22.2</v>
      </c>
      <c r="H597" s="5">
        <v>0.883786850160418</v>
      </c>
      <c r="I597" s="6">
        <v>22.6</v>
      </c>
      <c r="J597" s="2">
        <v>3.8999999999999</v>
      </c>
      <c r="K597" s="6">
        <v>370.739927532577</v>
      </c>
      <c r="L597" s="10">
        <v>52.1798344506941</v>
      </c>
      <c r="M597" s="11">
        <v>0.767619008658578</v>
      </c>
      <c r="O597" s="2">
        <v>57.5</v>
      </c>
      <c r="P597" s="2">
        <v>8.6</v>
      </c>
      <c r="Q597" s="2">
        <v>0.15</v>
      </c>
      <c r="R597" s="2">
        <v>1</v>
      </c>
      <c r="S597" s="2">
        <v>1</v>
      </c>
      <c r="T597" s="2">
        <v>22.2</v>
      </c>
      <c r="U597" s="19">
        <v>0.883786850160418</v>
      </c>
      <c r="V597" s="6">
        <v>22.6</v>
      </c>
      <c r="W597" s="2">
        <v>3.8999999999999</v>
      </c>
      <c r="X597" s="10">
        <v>370.739927532577</v>
      </c>
      <c r="Y597" s="11">
        <v>52.1798344506941</v>
      </c>
      <c r="Z597" s="5">
        <v>0.767619008658578</v>
      </c>
    </row>
    <row r="598" spans="2:26">
      <c r="B598" s="2">
        <v>60</v>
      </c>
      <c r="C598" s="2">
        <v>8.6</v>
      </c>
      <c r="D598" s="2">
        <v>0.15</v>
      </c>
      <c r="E598" s="2">
        <v>1</v>
      </c>
      <c r="F598" s="2">
        <v>1</v>
      </c>
      <c r="G598" s="2">
        <v>22.2</v>
      </c>
      <c r="H598" s="5">
        <v>0.868253123396246</v>
      </c>
      <c r="I598" s="6">
        <v>22.6</v>
      </c>
      <c r="J598" s="2">
        <v>4.5999999999999</v>
      </c>
      <c r="K598" s="6">
        <v>428.215990655956</v>
      </c>
      <c r="L598" s="10">
        <v>57.6895795249507</v>
      </c>
      <c r="M598" s="11">
        <v>0.819024188842109</v>
      </c>
      <c r="O598" s="2">
        <v>60</v>
      </c>
      <c r="P598" s="2">
        <v>8.6</v>
      </c>
      <c r="Q598" s="2">
        <v>0.15</v>
      </c>
      <c r="R598" s="2">
        <v>1</v>
      </c>
      <c r="S598" s="2">
        <v>1</v>
      </c>
      <c r="T598" s="2">
        <v>22.2</v>
      </c>
      <c r="U598" s="19">
        <v>0.868253123396246</v>
      </c>
      <c r="V598" s="6">
        <v>22.6</v>
      </c>
      <c r="W598" s="2">
        <v>4.5999999999999</v>
      </c>
      <c r="X598" s="10">
        <v>428.215990655956</v>
      </c>
      <c r="Y598" s="11">
        <v>57.6895795249507</v>
      </c>
      <c r="Z598" s="5">
        <v>0.819024188842109</v>
      </c>
    </row>
    <row r="599" spans="2:26">
      <c r="B599" s="2">
        <v>62.5</v>
      </c>
      <c r="C599" s="2">
        <v>8.6</v>
      </c>
      <c r="D599" s="2">
        <v>0.15</v>
      </c>
      <c r="E599" s="2">
        <v>1</v>
      </c>
      <c r="F599" s="2">
        <v>1</v>
      </c>
      <c r="G599" s="2">
        <v>22.2</v>
      </c>
      <c r="H599" s="5">
        <v>0.850790029374404</v>
      </c>
      <c r="I599" s="6">
        <v>22.6</v>
      </c>
      <c r="J599" s="2">
        <v>5.3</v>
      </c>
      <c r="K599" s="6">
        <v>488.031776103965</v>
      </c>
      <c r="L599" s="10">
        <v>63.072307006376</v>
      </c>
      <c r="M599" s="11">
        <v>0.854631531650937</v>
      </c>
      <c r="O599" s="2">
        <v>62.5</v>
      </c>
      <c r="P599" s="2">
        <v>8.6</v>
      </c>
      <c r="Q599" s="2">
        <v>0.15</v>
      </c>
      <c r="R599" s="2">
        <v>1</v>
      </c>
      <c r="S599" s="2">
        <v>1</v>
      </c>
      <c r="T599" s="2">
        <v>22.2</v>
      </c>
      <c r="U599" s="19">
        <v>0.850790029374404</v>
      </c>
      <c r="V599" s="6">
        <v>22.6</v>
      </c>
      <c r="W599" s="2">
        <v>5.3</v>
      </c>
      <c r="X599" s="10">
        <v>488.031776103965</v>
      </c>
      <c r="Y599" s="11">
        <v>63.072307006376</v>
      </c>
      <c r="Z599" s="5">
        <v>0.854631531650937</v>
      </c>
    </row>
    <row r="600" spans="2:26">
      <c r="B600" s="2">
        <v>65</v>
      </c>
      <c r="C600" s="2">
        <v>8.6</v>
      </c>
      <c r="D600" s="2">
        <v>0.15</v>
      </c>
      <c r="E600" s="2">
        <v>1</v>
      </c>
      <c r="F600" s="2">
        <v>1</v>
      </c>
      <c r="G600" s="2">
        <v>22.2</v>
      </c>
      <c r="H600" s="5">
        <v>0.831152647810126</v>
      </c>
      <c r="I600" s="6">
        <v>22.6</v>
      </c>
      <c r="J600" s="2">
        <v>5.9</v>
      </c>
      <c r="K600" s="6">
        <v>545.810823243858</v>
      </c>
      <c r="L600" s="10">
        <v>67.6581456386198</v>
      </c>
      <c r="M600" s="11">
        <v>0.86261823712161</v>
      </c>
      <c r="O600" s="2">
        <v>65</v>
      </c>
      <c r="P600" s="2">
        <v>8.6</v>
      </c>
      <c r="Q600" s="2">
        <v>0.15</v>
      </c>
      <c r="R600" s="2">
        <v>1</v>
      </c>
      <c r="S600" s="2">
        <v>1</v>
      </c>
      <c r="T600" s="2">
        <v>22.2</v>
      </c>
      <c r="U600" s="19">
        <v>0.831152647810126</v>
      </c>
      <c r="V600" s="6">
        <v>22.6</v>
      </c>
      <c r="W600" s="2">
        <v>5.9</v>
      </c>
      <c r="X600" s="10">
        <v>545.810823243858</v>
      </c>
      <c r="Y600" s="11">
        <v>67.6581456386198</v>
      </c>
      <c r="Z600" s="5">
        <v>0.86261823712161</v>
      </c>
    </row>
    <row r="601" spans="2:26">
      <c r="B601" s="2">
        <v>67.5</v>
      </c>
      <c r="C601" s="2">
        <v>8.6</v>
      </c>
      <c r="D601" s="2">
        <v>0.15</v>
      </c>
      <c r="E601" s="2">
        <v>1</v>
      </c>
      <c r="F601" s="2">
        <v>1</v>
      </c>
      <c r="G601" s="2">
        <v>22.2</v>
      </c>
      <c r="H601" s="5">
        <v>0.809058400419842</v>
      </c>
      <c r="I601" s="6">
        <v>22.7</v>
      </c>
      <c r="J601" s="2">
        <v>6.7</v>
      </c>
      <c r="K601" s="6">
        <v>615.177350828453</v>
      </c>
      <c r="L601" s="10">
        <v>70.1786483889342</v>
      </c>
      <c r="M601" s="11">
        <v>0.889340107883462</v>
      </c>
      <c r="O601" s="2">
        <v>67.5</v>
      </c>
      <c r="P601" s="2">
        <v>8.6</v>
      </c>
      <c r="Q601" s="2">
        <v>0.15</v>
      </c>
      <c r="R601" s="2">
        <v>1</v>
      </c>
      <c r="S601" s="2">
        <v>1</v>
      </c>
      <c r="T601" s="2">
        <v>22.2</v>
      </c>
      <c r="U601" s="19">
        <v>0.809058400419842</v>
      </c>
      <c r="V601" s="6">
        <v>22.7</v>
      </c>
      <c r="W601" s="2">
        <v>6.7</v>
      </c>
      <c r="X601" s="10">
        <v>615.177350828453</v>
      </c>
      <c r="Y601" s="11">
        <v>70.1786483889342</v>
      </c>
      <c r="Z601" s="5">
        <v>0.889340107883462</v>
      </c>
    </row>
    <row r="602" spans="2:26">
      <c r="B602" s="2">
        <v>70</v>
      </c>
      <c r="C602" s="2">
        <v>8.6</v>
      </c>
      <c r="D602" s="2">
        <v>0.15</v>
      </c>
      <c r="E602" s="2">
        <v>1</v>
      </c>
      <c r="F602" s="2">
        <v>1</v>
      </c>
      <c r="G602" s="2">
        <v>22.2</v>
      </c>
      <c r="H602" s="5">
        <v>0.784179277129304</v>
      </c>
      <c r="I602" s="6">
        <v>22.7</v>
      </c>
      <c r="J602" s="2">
        <v>7.5</v>
      </c>
      <c r="K602" s="6">
        <v>687.695356504436</v>
      </c>
      <c r="L602" s="10">
        <v>75.8451718254346</v>
      </c>
      <c r="M602" s="11">
        <v>0.904698108507644</v>
      </c>
      <c r="O602" s="2">
        <v>70</v>
      </c>
      <c r="P602" s="2">
        <v>8.6</v>
      </c>
      <c r="Q602" s="2">
        <v>0.15</v>
      </c>
      <c r="R602" s="2">
        <v>1</v>
      </c>
      <c r="S602" s="2">
        <v>1</v>
      </c>
      <c r="T602" s="2">
        <v>22.2</v>
      </c>
      <c r="U602" s="19">
        <v>0.784179277129304</v>
      </c>
      <c r="V602" s="6">
        <v>22.7</v>
      </c>
      <c r="W602" s="2">
        <v>7.5</v>
      </c>
      <c r="X602" s="10">
        <v>687.695356504436</v>
      </c>
      <c r="Y602" s="11">
        <v>75.8451718254346</v>
      </c>
      <c r="Z602" s="5">
        <v>0.904698108507644</v>
      </c>
    </row>
    <row r="603" spans="2:26">
      <c r="B603" s="1">
        <v>45</v>
      </c>
      <c r="C603" s="1">
        <v>4.8</v>
      </c>
      <c r="D603" s="1">
        <v>0.0132</v>
      </c>
      <c r="E603" s="1">
        <v>1</v>
      </c>
      <c r="F603" s="2">
        <v>2</v>
      </c>
      <c r="G603" s="1">
        <v>20.4</v>
      </c>
      <c r="H603" s="3">
        <v>0.93913980595102</v>
      </c>
      <c r="I603" s="4">
        <v>20.5</v>
      </c>
      <c r="J603" s="1">
        <v>10.7</v>
      </c>
      <c r="K603" s="4">
        <v>98.6019541275018</v>
      </c>
      <c r="L603" s="13">
        <v>35.257157420138</v>
      </c>
      <c r="M603" s="9">
        <v>0.556589045331415</v>
      </c>
      <c r="O603" s="1">
        <v>45</v>
      </c>
      <c r="P603" s="1">
        <v>4.8</v>
      </c>
      <c r="Q603" s="1">
        <v>0.0132</v>
      </c>
      <c r="R603" s="1">
        <v>1</v>
      </c>
      <c r="S603" s="2">
        <v>2</v>
      </c>
      <c r="T603" s="1">
        <v>20.4</v>
      </c>
      <c r="U603" s="17">
        <v>0.93913980595102</v>
      </c>
      <c r="V603" s="4">
        <v>20.5</v>
      </c>
      <c r="W603" s="1">
        <v>10.7</v>
      </c>
      <c r="X603" s="13">
        <v>98.6019541275018</v>
      </c>
      <c r="Y603" s="9">
        <v>35.257157420138</v>
      </c>
      <c r="Z603" s="3">
        <v>0.556589045331415</v>
      </c>
    </row>
    <row r="604" spans="2:26">
      <c r="B604" s="1">
        <v>50</v>
      </c>
      <c r="C604" s="1">
        <v>4.8</v>
      </c>
      <c r="D604" s="1">
        <v>0.0132</v>
      </c>
      <c r="E604" s="1">
        <v>1</v>
      </c>
      <c r="F604" s="2">
        <v>2</v>
      </c>
      <c r="G604" s="1">
        <v>20.4</v>
      </c>
      <c r="H604" s="3">
        <v>0.920818198615511</v>
      </c>
      <c r="I604" s="4">
        <v>20.5</v>
      </c>
      <c r="J604" s="1">
        <v>15.7</v>
      </c>
      <c r="K604" s="4">
        <v>137.658490061341</v>
      </c>
      <c r="L604" s="13">
        <v>49.2226254262186</v>
      </c>
      <c r="M604" s="9">
        <v>0.660737897844536</v>
      </c>
      <c r="O604" s="1">
        <v>50</v>
      </c>
      <c r="P604" s="1">
        <v>4.8</v>
      </c>
      <c r="Q604" s="1">
        <v>0.0132</v>
      </c>
      <c r="R604" s="1">
        <v>1</v>
      </c>
      <c r="S604" s="2">
        <v>2</v>
      </c>
      <c r="T604" s="1">
        <v>20.4</v>
      </c>
      <c r="U604" s="17">
        <v>0.920818198615511</v>
      </c>
      <c r="V604" s="4">
        <v>20.5</v>
      </c>
      <c r="W604" s="1">
        <v>15.7</v>
      </c>
      <c r="X604" s="13">
        <v>137.658490061341</v>
      </c>
      <c r="Y604" s="9">
        <v>49.2226254262186</v>
      </c>
      <c r="Z604" s="3">
        <v>0.660737897844536</v>
      </c>
    </row>
    <row r="605" spans="2:26">
      <c r="B605" s="1">
        <v>55</v>
      </c>
      <c r="C605" s="1">
        <v>4.8</v>
      </c>
      <c r="D605" s="1">
        <v>0.0132</v>
      </c>
      <c r="E605" s="1">
        <v>1</v>
      </c>
      <c r="F605" s="2">
        <v>2</v>
      </c>
      <c r="G605" s="1">
        <v>20.4</v>
      </c>
      <c r="H605" s="3">
        <v>0.89760467536325</v>
      </c>
      <c r="I605" s="4">
        <v>20.6</v>
      </c>
      <c r="J605" s="1">
        <v>23.1</v>
      </c>
      <c r="K605" s="4">
        <v>190.015473719326</v>
      </c>
      <c r="L605" s="13">
        <v>68.1329058642192</v>
      </c>
      <c r="M605" s="9">
        <v>0.790855833935797</v>
      </c>
      <c r="O605" s="1">
        <v>55</v>
      </c>
      <c r="P605" s="1">
        <v>4.8</v>
      </c>
      <c r="Q605" s="1">
        <v>0.0132</v>
      </c>
      <c r="R605" s="1">
        <v>1</v>
      </c>
      <c r="S605" s="2">
        <v>2</v>
      </c>
      <c r="T605" s="1">
        <v>20.4</v>
      </c>
      <c r="U605" s="17">
        <v>0.89760467536325</v>
      </c>
      <c r="V605" s="4">
        <v>20.6</v>
      </c>
      <c r="W605" s="1">
        <v>23.1</v>
      </c>
      <c r="X605" s="13">
        <v>190.015473719326</v>
      </c>
      <c r="Y605" s="9">
        <v>68.1329058642192</v>
      </c>
      <c r="Z605" s="3">
        <v>0.790855833935797</v>
      </c>
    </row>
    <row r="606" spans="2:26">
      <c r="B606" s="1">
        <v>60</v>
      </c>
      <c r="C606" s="1">
        <v>4.8</v>
      </c>
      <c r="D606" s="1">
        <v>0.0132</v>
      </c>
      <c r="E606" s="1">
        <v>1</v>
      </c>
      <c r="F606" s="2">
        <v>2</v>
      </c>
      <c r="G606" s="1">
        <v>20.4</v>
      </c>
      <c r="H606" s="3">
        <v>0.868253123396246</v>
      </c>
      <c r="I606" s="4">
        <v>20.6</v>
      </c>
      <c r="J606" s="1">
        <v>29.5</v>
      </c>
      <c r="K606" s="4">
        <v>242.970094653281</v>
      </c>
      <c r="L606" s="13">
        <v>96.2547709842334</v>
      </c>
      <c r="M606" s="9">
        <v>0.825501372915225</v>
      </c>
      <c r="O606" s="1">
        <v>60</v>
      </c>
      <c r="P606" s="1">
        <v>4.8</v>
      </c>
      <c r="Q606" s="1">
        <v>0.0132</v>
      </c>
      <c r="R606" s="1">
        <v>1</v>
      </c>
      <c r="S606" s="2">
        <v>2</v>
      </c>
      <c r="T606" s="1">
        <v>20.4</v>
      </c>
      <c r="U606" s="17">
        <v>0.868253123396246</v>
      </c>
      <c r="V606" s="4">
        <v>20.6</v>
      </c>
      <c r="W606" s="1">
        <v>29.5</v>
      </c>
      <c r="X606" s="13">
        <v>242.970094653281</v>
      </c>
      <c r="Y606" s="9">
        <v>96.2547709842334</v>
      </c>
      <c r="Z606" s="3">
        <v>0.825501372915225</v>
      </c>
    </row>
    <row r="607" spans="2:26">
      <c r="B607" s="1">
        <v>65</v>
      </c>
      <c r="C607" s="1">
        <v>4.8</v>
      </c>
      <c r="D607" s="1">
        <v>0.0132</v>
      </c>
      <c r="E607" s="1">
        <v>1</v>
      </c>
      <c r="F607" s="2">
        <v>2</v>
      </c>
      <c r="G607" s="1">
        <v>20.4</v>
      </c>
      <c r="H607" s="3">
        <v>0.831152647810126</v>
      </c>
      <c r="I607" s="4">
        <v>20.6</v>
      </c>
      <c r="J607" s="1">
        <v>35.6</v>
      </c>
      <c r="K607" s="4">
        <v>299.942442211701</v>
      </c>
      <c r="L607" s="13">
        <v>129.747686801975</v>
      </c>
      <c r="M607" s="9">
        <v>0.818058633829072</v>
      </c>
      <c r="O607" s="1">
        <v>65</v>
      </c>
      <c r="P607" s="1">
        <v>4.8</v>
      </c>
      <c r="Q607" s="1">
        <v>0.0132</v>
      </c>
      <c r="R607" s="1">
        <v>1</v>
      </c>
      <c r="S607" s="2">
        <v>2</v>
      </c>
      <c r="T607" s="1">
        <v>20.4</v>
      </c>
      <c r="U607" s="17">
        <v>0.831152647810126</v>
      </c>
      <c r="V607" s="4">
        <v>20.6</v>
      </c>
      <c r="W607" s="1">
        <v>35.6</v>
      </c>
      <c r="X607" s="13">
        <v>299.942442211701</v>
      </c>
      <c r="Y607" s="9">
        <v>129.747686801975</v>
      </c>
      <c r="Z607" s="3">
        <v>0.818058633829072</v>
      </c>
    </row>
    <row r="608" spans="2:26">
      <c r="B608" s="1">
        <v>70</v>
      </c>
      <c r="C608" s="1">
        <v>4.8</v>
      </c>
      <c r="D608" s="1">
        <v>0.0132</v>
      </c>
      <c r="E608" s="1">
        <v>1</v>
      </c>
      <c r="F608" s="2">
        <v>2</v>
      </c>
      <c r="G608" s="1">
        <v>20.4</v>
      </c>
      <c r="H608" s="3">
        <v>0.784179277129304</v>
      </c>
      <c r="I608" s="4">
        <v>20.7</v>
      </c>
      <c r="J608" s="1">
        <v>41.9</v>
      </c>
      <c r="K608" s="4">
        <v>363.641095327199</v>
      </c>
      <c r="L608" s="13">
        <v>159.471025067555</v>
      </c>
      <c r="M608" s="9">
        <v>0.794392651387112</v>
      </c>
      <c r="O608" s="1">
        <v>70</v>
      </c>
      <c r="P608" s="1">
        <v>4.8</v>
      </c>
      <c r="Q608" s="1">
        <v>0.0132</v>
      </c>
      <c r="R608" s="1">
        <v>1</v>
      </c>
      <c r="S608" s="2">
        <v>2</v>
      </c>
      <c r="T608" s="1">
        <v>20.4</v>
      </c>
      <c r="U608" s="17">
        <v>0.784179277129304</v>
      </c>
      <c r="V608" s="4">
        <v>20.7</v>
      </c>
      <c r="W608" s="1">
        <v>41.9</v>
      </c>
      <c r="X608" s="13">
        <v>363.641095327199</v>
      </c>
      <c r="Y608" s="9">
        <v>159.471025067555</v>
      </c>
      <c r="Z608" s="3">
        <v>0.794392651387112</v>
      </c>
    </row>
    <row r="609" spans="2:26">
      <c r="B609" s="1">
        <v>45</v>
      </c>
      <c r="C609" s="1">
        <v>5.5</v>
      </c>
      <c r="D609" s="1">
        <v>0.0132</v>
      </c>
      <c r="E609" s="1">
        <v>1</v>
      </c>
      <c r="F609" s="2">
        <v>2</v>
      </c>
      <c r="G609" s="1">
        <v>20.5</v>
      </c>
      <c r="H609" s="3">
        <v>0.93913980595102</v>
      </c>
      <c r="I609" s="4">
        <v>20.6</v>
      </c>
      <c r="J609" s="1">
        <v>13</v>
      </c>
      <c r="K609" s="4">
        <v>115.792983018271</v>
      </c>
      <c r="L609" s="13">
        <v>48.195600470387</v>
      </c>
      <c r="M609" s="9">
        <v>0.590260525669708</v>
      </c>
      <c r="O609" s="1">
        <v>45</v>
      </c>
      <c r="P609" s="1">
        <v>5.5</v>
      </c>
      <c r="Q609" s="1">
        <v>0.0132</v>
      </c>
      <c r="R609" s="1">
        <v>1</v>
      </c>
      <c r="S609" s="2">
        <v>2</v>
      </c>
      <c r="T609" s="1">
        <v>20.5</v>
      </c>
      <c r="U609" s="17">
        <v>0.93913980595102</v>
      </c>
      <c r="V609" s="4">
        <v>20.6</v>
      </c>
      <c r="W609" s="1">
        <v>13</v>
      </c>
      <c r="X609" s="13">
        <v>115.792983018271</v>
      </c>
      <c r="Y609" s="9">
        <v>48.195600470387</v>
      </c>
      <c r="Z609" s="3">
        <v>0.590260525669708</v>
      </c>
    </row>
    <row r="610" spans="2:26">
      <c r="B610" s="1">
        <v>50</v>
      </c>
      <c r="C610" s="1">
        <v>5.5</v>
      </c>
      <c r="D610" s="1">
        <v>0.0132</v>
      </c>
      <c r="E610" s="1">
        <v>1</v>
      </c>
      <c r="F610" s="2">
        <v>2</v>
      </c>
      <c r="G610" s="1">
        <v>20.5</v>
      </c>
      <c r="H610" s="3">
        <v>0.920818198615511</v>
      </c>
      <c r="I610" s="4">
        <v>20.8</v>
      </c>
      <c r="J610" s="1">
        <v>18.1</v>
      </c>
      <c r="K610" s="4">
        <v>157.717557054183</v>
      </c>
      <c r="L610" s="13">
        <v>51.6856939356893</v>
      </c>
      <c r="M610" s="9">
        <v>0.665116647808256</v>
      </c>
      <c r="O610" s="1">
        <v>50</v>
      </c>
      <c r="P610" s="1">
        <v>5.5</v>
      </c>
      <c r="Q610" s="1">
        <v>0.0132</v>
      </c>
      <c r="R610" s="1">
        <v>1</v>
      </c>
      <c r="S610" s="2">
        <v>2</v>
      </c>
      <c r="T610" s="1">
        <v>20.5</v>
      </c>
      <c r="U610" s="17">
        <v>0.920818198615511</v>
      </c>
      <c r="V610" s="4">
        <v>20.8</v>
      </c>
      <c r="W610" s="1">
        <v>18.1</v>
      </c>
      <c r="X610" s="13">
        <v>157.717557054183</v>
      </c>
      <c r="Y610" s="9">
        <v>51.6856939356893</v>
      </c>
      <c r="Z610" s="3">
        <v>0.665116647808256</v>
      </c>
    </row>
    <row r="611" spans="2:26">
      <c r="B611" s="1">
        <v>55</v>
      </c>
      <c r="C611" s="1">
        <v>5.5</v>
      </c>
      <c r="D611" s="1">
        <v>0.0132</v>
      </c>
      <c r="E611" s="1">
        <v>1</v>
      </c>
      <c r="F611" s="2">
        <v>2</v>
      </c>
      <c r="G611" s="1">
        <v>20.5</v>
      </c>
      <c r="H611" s="3">
        <v>0.89760467536325</v>
      </c>
      <c r="I611" s="4">
        <v>20.9</v>
      </c>
      <c r="J611" s="1">
        <v>25.5</v>
      </c>
      <c r="K611" s="4">
        <v>213.387418859136</v>
      </c>
      <c r="L611" s="13">
        <v>77.2540692338148</v>
      </c>
      <c r="M611" s="9">
        <v>0.762278149792084</v>
      </c>
      <c r="O611" s="1">
        <v>55</v>
      </c>
      <c r="P611" s="1">
        <v>5.5</v>
      </c>
      <c r="Q611" s="1">
        <v>0.0132</v>
      </c>
      <c r="R611" s="1">
        <v>1</v>
      </c>
      <c r="S611" s="2">
        <v>2</v>
      </c>
      <c r="T611" s="1">
        <v>20.5</v>
      </c>
      <c r="U611" s="17">
        <v>0.89760467536325</v>
      </c>
      <c r="V611" s="4">
        <v>20.9</v>
      </c>
      <c r="W611" s="1">
        <v>25.5</v>
      </c>
      <c r="X611" s="13">
        <v>213.387418859136</v>
      </c>
      <c r="Y611" s="9">
        <v>77.2540692338148</v>
      </c>
      <c r="Z611" s="3">
        <v>0.762278149792084</v>
      </c>
    </row>
    <row r="612" spans="2:26">
      <c r="B612" s="1">
        <v>60</v>
      </c>
      <c r="C612" s="1">
        <v>5.5</v>
      </c>
      <c r="D612" s="1">
        <v>0.0132</v>
      </c>
      <c r="E612" s="1">
        <v>1</v>
      </c>
      <c r="F612" s="2">
        <v>2</v>
      </c>
      <c r="G612" s="1">
        <v>20.5</v>
      </c>
      <c r="H612" s="3">
        <v>0.868253123396246</v>
      </c>
      <c r="I612" s="4">
        <v>21</v>
      </c>
      <c r="J612" s="1">
        <v>31.8</v>
      </c>
      <c r="K612" s="4">
        <v>269.778987655342</v>
      </c>
      <c r="L612" s="13">
        <v>102.454847023455</v>
      </c>
      <c r="M612" s="9">
        <v>0.777102675266003</v>
      </c>
      <c r="O612" s="1">
        <v>60</v>
      </c>
      <c r="P612" s="1">
        <v>5.5</v>
      </c>
      <c r="Q612" s="1">
        <v>0.0132</v>
      </c>
      <c r="R612" s="1">
        <v>1</v>
      </c>
      <c r="S612" s="2">
        <v>2</v>
      </c>
      <c r="T612" s="1">
        <v>20.5</v>
      </c>
      <c r="U612" s="17">
        <v>0.868253123396246</v>
      </c>
      <c r="V612" s="4">
        <v>21</v>
      </c>
      <c r="W612" s="1">
        <v>31.8</v>
      </c>
      <c r="X612" s="13">
        <v>269.778987655342</v>
      </c>
      <c r="Y612" s="9">
        <v>102.454847023455</v>
      </c>
      <c r="Z612" s="3">
        <v>0.777102675266003</v>
      </c>
    </row>
    <row r="613" spans="2:26">
      <c r="B613" s="1">
        <v>65</v>
      </c>
      <c r="C613" s="1">
        <v>5.5</v>
      </c>
      <c r="D613" s="1">
        <v>0.0132</v>
      </c>
      <c r="E613" s="1">
        <v>1</v>
      </c>
      <c r="F613" s="2">
        <v>2</v>
      </c>
      <c r="G613" s="1">
        <v>20.5</v>
      </c>
      <c r="H613" s="3">
        <v>0.831152647810126</v>
      </c>
      <c r="I613" s="4">
        <v>21</v>
      </c>
      <c r="J613" s="1">
        <v>38.3</v>
      </c>
      <c r="K613" s="4">
        <v>333.108667713649</v>
      </c>
      <c r="L613" s="13">
        <v>147.134476789263</v>
      </c>
      <c r="M613" s="9">
        <v>0.768575468578421</v>
      </c>
      <c r="O613" s="1">
        <v>65</v>
      </c>
      <c r="P613" s="1">
        <v>5.5</v>
      </c>
      <c r="Q613" s="1">
        <v>0.0132</v>
      </c>
      <c r="R613" s="1">
        <v>1</v>
      </c>
      <c r="S613" s="2">
        <v>2</v>
      </c>
      <c r="T613" s="1">
        <v>20.5</v>
      </c>
      <c r="U613" s="17">
        <v>0.831152647810126</v>
      </c>
      <c r="V613" s="4">
        <v>21</v>
      </c>
      <c r="W613" s="1">
        <v>38.3</v>
      </c>
      <c r="X613" s="13">
        <v>333.108667713649</v>
      </c>
      <c r="Y613" s="9">
        <v>147.134476789263</v>
      </c>
      <c r="Z613" s="3">
        <v>0.768575468578421</v>
      </c>
    </row>
    <row r="614" spans="2:26">
      <c r="B614" s="1">
        <v>70</v>
      </c>
      <c r="C614" s="1">
        <v>5.5</v>
      </c>
      <c r="D614" s="1">
        <v>0.0132</v>
      </c>
      <c r="E614" s="1">
        <v>1</v>
      </c>
      <c r="F614" s="2">
        <v>2</v>
      </c>
      <c r="G614" s="1">
        <v>20.4</v>
      </c>
      <c r="H614" s="3">
        <v>0.784179277129304</v>
      </c>
      <c r="I614" s="4">
        <v>21</v>
      </c>
      <c r="J614" s="1">
        <v>42.7</v>
      </c>
      <c r="K614" s="4">
        <v>394.948105981971</v>
      </c>
      <c r="L614" s="13">
        <v>153.111164407897</v>
      </c>
      <c r="M614" s="9">
        <v>0.706857803084514</v>
      </c>
      <c r="O614" s="1">
        <v>70</v>
      </c>
      <c r="P614" s="1">
        <v>5.5</v>
      </c>
      <c r="Q614" s="1">
        <v>0.0132</v>
      </c>
      <c r="R614" s="1">
        <v>1</v>
      </c>
      <c r="S614" s="2">
        <v>2</v>
      </c>
      <c r="T614" s="1">
        <v>20.4</v>
      </c>
      <c r="U614" s="17">
        <v>0.784179277129304</v>
      </c>
      <c r="V614" s="4">
        <v>21</v>
      </c>
      <c r="W614" s="1">
        <v>42.7</v>
      </c>
      <c r="X614" s="13">
        <v>394.948105981971</v>
      </c>
      <c r="Y614" s="9">
        <v>153.111164407897</v>
      </c>
      <c r="Z614" s="3">
        <v>0.706857803084514</v>
      </c>
    </row>
    <row r="615" spans="2:26">
      <c r="B615" s="1">
        <v>45</v>
      </c>
      <c r="C615" s="1">
        <v>6.6</v>
      </c>
      <c r="D615" s="1">
        <v>0.0132</v>
      </c>
      <c r="E615" s="1">
        <v>1</v>
      </c>
      <c r="F615" s="2">
        <v>2</v>
      </c>
      <c r="G615" s="1">
        <v>20.4</v>
      </c>
      <c r="H615" s="3">
        <v>0.93913980595102</v>
      </c>
      <c r="I615" s="4">
        <v>20.8</v>
      </c>
      <c r="J615" s="1">
        <v>14.7</v>
      </c>
      <c r="K615" s="4">
        <v>134.969552295882</v>
      </c>
      <c r="L615" s="13">
        <v>45.588814699782</v>
      </c>
      <c r="M615" s="9">
        <v>0.556388786527579</v>
      </c>
      <c r="O615" s="1">
        <v>45</v>
      </c>
      <c r="P615" s="1">
        <v>6.6</v>
      </c>
      <c r="Q615" s="1">
        <v>0.0132</v>
      </c>
      <c r="R615" s="1">
        <v>1</v>
      </c>
      <c r="S615" s="2">
        <v>2</v>
      </c>
      <c r="T615" s="1">
        <v>20.4</v>
      </c>
      <c r="U615" s="17">
        <v>0.93913980595102</v>
      </c>
      <c r="V615" s="4">
        <v>20.8</v>
      </c>
      <c r="W615" s="1">
        <v>14.7</v>
      </c>
      <c r="X615" s="13">
        <v>134.969552295882</v>
      </c>
      <c r="Y615" s="9">
        <v>45.588814699782</v>
      </c>
      <c r="Z615" s="3">
        <v>0.556388786527579</v>
      </c>
    </row>
    <row r="616" spans="2:26">
      <c r="B616" s="1">
        <v>50</v>
      </c>
      <c r="C616" s="1">
        <v>6.6</v>
      </c>
      <c r="D616" s="1">
        <v>0.0132</v>
      </c>
      <c r="E616" s="1">
        <v>1</v>
      </c>
      <c r="F616" s="2">
        <v>2</v>
      </c>
      <c r="G616" s="1">
        <v>20.4</v>
      </c>
      <c r="H616" s="3">
        <v>0.920818198615511</v>
      </c>
      <c r="I616" s="4">
        <v>20.8</v>
      </c>
      <c r="J616" s="1">
        <v>20.5</v>
      </c>
      <c r="K616" s="4">
        <v>184.368360131686</v>
      </c>
      <c r="L616" s="13">
        <v>66.2150519518919</v>
      </c>
      <c r="M616" s="9">
        <v>0.627757425417553</v>
      </c>
      <c r="O616" s="1">
        <v>50</v>
      </c>
      <c r="P616" s="1">
        <v>6.6</v>
      </c>
      <c r="Q616" s="1">
        <v>0.0132</v>
      </c>
      <c r="R616" s="1">
        <v>1</v>
      </c>
      <c r="S616" s="2">
        <v>2</v>
      </c>
      <c r="T616" s="1">
        <v>20.4</v>
      </c>
      <c r="U616" s="17">
        <v>0.920818198615511</v>
      </c>
      <c r="V616" s="4">
        <v>20.8</v>
      </c>
      <c r="W616" s="1">
        <v>20.5</v>
      </c>
      <c r="X616" s="13">
        <v>184.368360131686</v>
      </c>
      <c r="Y616" s="9">
        <v>66.2150519518919</v>
      </c>
      <c r="Z616" s="3">
        <v>0.627757425417553</v>
      </c>
    </row>
    <row r="617" spans="2:26">
      <c r="B617" s="1">
        <v>55</v>
      </c>
      <c r="C617" s="1">
        <v>6.6</v>
      </c>
      <c r="D617" s="1">
        <v>0.0132</v>
      </c>
      <c r="E617" s="1">
        <v>1</v>
      </c>
      <c r="F617" s="2">
        <v>2</v>
      </c>
      <c r="G617" s="1">
        <v>20.4</v>
      </c>
      <c r="H617" s="3">
        <v>0.89760467536325</v>
      </c>
      <c r="I617" s="4">
        <v>21.1</v>
      </c>
      <c r="J617" s="1">
        <v>26.4</v>
      </c>
      <c r="K617" s="4">
        <v>238.855303533761</v>
      </c>
      <c r="L617" s="13">
        <v>78.3703072121781</v>
      </c>
      <c r="M617" s="9">
        <v>0.657863082382228</v>
      </c>
      <c r="O617" s="1">
        <v>55</v>
      </c>
      <c r="P617" s="1">
        <v>6.6</v>
      </c>
      <c r="Q617" s="1">
        <v>0.0132</v>
      </c>
      <c r="R617" s="1">
        <v>1</v>
      </c>
      <c r="S617" s="2">
        <v>2</v>
      </c>
      <c r="T617" s="1">
        <v>20.4</v>
      </c>
      <c r="U617" s="17">
        <v>0.89760467536325</v>
      </c>
      <c r="V617" s="4">
        <v>21.1</v>
      </c>
      <c r="W617" s="1">
        <v>26.4</v>
      </c>
      <c r="X617" s="13">
        <v>238.855303533761</v>
      </c>
      <c r="Y617" s="9">
        <v>78.3703072121781</v>
      </c>
      <c r="Z617" s="3">
        <v>0.657863082382228</v>
      </c>
    </row>
    <row r="618" spans="2:26">
      <c r="B618" s="1">
        <v>60</v>
      </c>
      <c r="C618" s="1">
        <v>6.6</v>
      </c>
      <c r="D618" s="1">
        <v>0.0132</v>
      </c>
      <c r="E618" s="1">
        <v>1</v>
      </c>
      <c r="F618" s="2">
        <v>2</v>
      </c>
      <c r="G618" s="1">
        <v>20.4</v>
      </c>
      <c r="H618" s="3">
        <v>0.868253123396246</v>
      </c>
      <c r="I618" s="4">
        <v>21.1</v>
      </c>
      <c r="J618" s="1">
        <v>32.9</v>
      </c>
      <c r="K618" s="4">
        <v>302.460059730795</v>
      </c>
      <c r="L618" s="13">
        <v>113.865246816099</v>
      </c>
      <c r="M618" s="9">
        <v>0.670093100742857</v>
      </c>
      <c r="O618" s="1">
        <v>60</v>
      </c>
      <c r="P618" s="1">
        <v>6.6</v>
      </c>
      <c r="Q618" s="1">
        <v>0.0132</v>
      </c>
      <c r="R618" s="1">
        <v>1</v>
      </c>
      <c r="S618" s="2">
        <v>2</v>
      </c>
      <c r="T618" s="1">
        <v>20.4</v>
      </c>
      <c r="U618" s="17">
        <v>0.868253123396246</v>
      </c>
      <c r="V618" s="4">
        <v>21.1</v>
      </c>
      <c r="W618" s="1">
        <v>32.9</v>
      </c>
      <c r="X618" s="13">
        <v>302.460059730795</v>
      </c>
      <c r="Y618" s="9">
        <v>113.865246816099</v>
      </c>
      <c r="Z618" s="3">
        <v>0.670093100742857</v>
      </c>
    </row>
    <row r="619" spans="2:26">
      <c r="B619" s="1">
        <v>65</v>
      </c>
      <c r="C619" s="1">
        <v>6.6</v>
      </c>
      <c r="D619" s="1">
        <v>0.0132</v>
      </c>
      <c r="E619" s="1">
        <v>1</v>
      </c>
      <c r="F619" s="2">
        <v>2</v>
      </c>
      <c r="G619" s="1">
        <v>20.4</v>
      </c>
      <c r="H619" s="3">
        <v>0.831152647810126</v>
      </c>
      <c r="I619" s="4">
        <v>21.1</v>
      </c>
      <c r="J619" s="1">
        <v>39.5</v>
      </c>
      <c r="K619" s="4">
        <v>373.646969926141</v>
      </c>
      <c r="L619" s="13">
        <v>168.643477955076</v>
      </c>
      <c r="M619" s="9">
        <v>0.660651244608213</v>
      </c>
      <c r="O619" s="1">
        <v>65</v>
      </c>
      <c r="P619" s="1">
        <v>6.6</v>
      </c>
      <c r="Q619" s="1">
        <v>0.0132</v>
      </c>
      <c r="R619" s="1">
        <v>1</v>
      </c>
      <c r="S619" s="2">
        <v>2</v>
      </c>
      <c r="T619" s="1">
        <v>20.4</v>
      </c>
      <c r="U619" s="17">
        <v>0.831152647810126</v>
      </c>
      <c r="V619" s="4">
        <v>21.1</v>
      </c>
      <c r="W619" s="1">
        <v>39.5</v>
      </c>
      <c r="X619" s="13">
        <v>373.646969926141</v>
      </c>
      <c r="Y619" s="9">
        <v>168.643477955076</v>
      </c>
      <c r="Z619" s="3">
        <v>0.660651244608213</v>
      </c>
    </row>
    <row r="620" spans="2:26">
      <c r="B620" s="1">
        <v>70</v>
      </c>
      <c r="C620" s="1">
        <v>6.6</v>
      </c>
      <c r="D620" s="1">
        <v>0.0132</v>
      </c>
      <c r="E620" s="1">
        <v>1</v>
      </c>
      <c r="F620" s="2">
        <v>2</v>
      </c>
      <c r="G620" s="1">
        <v>20.4</v>
      </c>
      <c r="H620" s="3">
        <v>0.784179277129304</v>
      </c>
      <c r="I620" s="4">
        <v>21.2</v>
      </c>
      <c r="J620" s="1">
        <v>44.4</v>
      </c>
      <c r="K620" s="4">
        <v>446.162490654333</v>
      </c>
      <c r="L620" s="13">
        <v>189.801800286049</v>
      </c>
      <c r="M620" s="9">
        <v>0.612691908122552</v>
      </c>
      <c r="O620" s="1">
        <v>70</v>
      </c>
      <c r="P620" s="1">
        <v>6.6</v>
      </c>
      <c r="Q620" s="1">
        <v>0.0132</v>
      </c>
      <c r="R620" s="1">
        <v>1</v>
      </c>
      <c r="S620" s="2">
        <v>2</v>
      </c>
      <c r="T620" s="1">
        <v>20.4</v>
      </c>
      <c r="U620" s="17">
        <v>0.784179277129304</v>
      </c>
      <c r="V620" s="4">
        <v>21.2</v>
      </c>
      <c r="W620" s="1">
        <v>44.4</v>
      </c>
      <c r="X620" s="13">
        <v>446.162490654333</v>
      </c>
      <c r="Y620" s="9">
        <v>189.801800286049</v>
      </c>
      <c r="Z620" s="3">
        <v>0.612691908122552</v>
      </c>
    </row>
    <row r="621" spans="2:26">
      <c r="B621" s="1">
        <v>45</v>
      </c>
      <c r="C621" s="1">
        <v>8</v>
      </c>
      <c r="D621" s="1">
        <v>0.0132</v>
      </c>
      <c r="E621" s="1">
        <v>1</v>
      </c>
      <c r="F621" s="2">
        <v>2</v>
      </c>
      <c r="G621" s="1">
        <v>20.4</v>
      </c>
      <c r="H621" s="3">
        <v>0.93913980595102</v>
      </c>
      <c r="I621" s="4">
        <v>21.2</v>
      </c>
      <c r="J621" s="1">
        <v>18.5</v>
      </c>
      <c r="K621" s="4">
        <v>165.420870029657</v>
      </c>
      <c r="L621" s="13">
        <v>63.4040192817427</v>
      </c>
      <c r="M621" s="9">
        <v>0.578056588861215</v>
      </c>
      <c r="O621" s="1">
        <v>45</v>
      </c>
      <c r="P621" s="1">
        <v>8</v>
      </c>
      <c r="Q621" s="1">
        <v>0.0132</v>
      </c>
      <c r="R621" s="1">
        <v>1</v>
      </c>
      <c r="S621" s="2">
        <v>2</v>
      </c>
      <c r="T621" s="1">
        <v>20.4</v>
      </c>
      <c r="U621" s="17">
        <v>0.93913980595102</v>
      </c>
      <c r="V621" s="4">
        <v>21.2</v>
      </c>
      <c r="W621" s="1">
        <v>18.5</v>
      </c>
      <c r="X621" s="13">
        <v>165.420870029657</v>
      </c>
      <c r="Y621" s="9">
        <v>63.4040192817427</v>
      </c>
      <c r="Z621" s="3">
        <v>0.578056588861215</v>
      </c>
    </row>
    <row r="622" spans="2:26">
      <c r="B622" s="1">
        <v>50</v>
      </c>
      <c r="C622" s="1">
        <v>8</v>
      </c>
      <c r="D622" s="1">
        <v>0.0132</v>
      </c>
      <c r="E622" s="1">
        <v>1</v>
      </c>
      <c r="F622" s="2">
        <v>2</v>
      </c>
      <c r="G622" s="1">
        <v>20.4</v>
      </c>
      <c r="H622" s="3">
        <v>0.920818198615511</v>
      </c>
      <c r="I622" s="4">
        <v>21.2</v>
      </c>
      <c r="J622" s="1">
        <v>25.2</v>
      </c>
      <c r="K622" s="4">
        <v>223.985745710659</v>
      </c>
      <c r="L622" s="13">
        <v>106.066464635791</v>
      </c>
      <c r="M622" s="9">
        <v>0.637050461639884</v>
      </c>
      <c r="O622" s="1">
        <v>50</v>
      </c>
      <c r="P622" s="1">
        <v>8</v>
      </c>
      <c r="Q622" s="1">
        <v>0.0132</v>
      </c>
      <c r="R622" s="1">
        <v>1</v>
      </c>
      <c r="S622" s="2">
        <v>2</v>
      </c>
      <c r="T622" s="1">
        <v>20.4</v>
      </c>
      <c r="U622" s="17">
        <v>0.920818198615511</v>
      </c>
      <c r="V622" s="4">
        <v>21.2</v>
      </c>
      <c r="W622" s="1">
        <v>25.2</v>
      </c>
      <c r="X622" s="13">
        <v>223.985745710659</v>
      </c>
      <c r="Y622" s="9">
        <v>106.066464635791</v>
      </c>
      <c r="Z622" s="3">
        <v>0.637050461639884</v>
      </c>
    </row>
    <row r="623" spans="2:26">
      <c r="B623" s="1">
        <v>55</v>
      </c>
      <c r="C623" s="1">
        <v>8</v>
      </c>
      <c r="D623" s="1">
        <v>0.0132</v>
      </c>
      <c r="E623" s="1">
        <v>1</v>
      </c>
      <c r="F623" s="2">
        <v>2</v>
      </c>
      <c r="G623" s="1">
        <v>20.4</v>
      </c>
      <c r="H623" s="3">
        <v>0.89760467536325</v>
      </c>
      <c r="I623" s="4">
        <v>21.3</v>
      </c>
      <c r="J623" s="1">
        <v>28.2</v>
      </c>
      <c r="K623" s="4">
        <v>273.83559186778</v>
      </c>
      <c r="L623" s="13">
        <v>97.6676214617086</v>
      </c>
      <c r="M623" s="9">
        <v>0.579928089400872</v>
      </c>
      <c r="O623" s="1">
        <v>55</v>
      </c>
      <c r="P623" s="1">
        <v>8</v>
      </c>
      <c r="Q623" s="1">
        <v>0.0132</v>
      </c>
      <c r="R623" s="1">
        <v>1</v>
      </c>
      <c r="S623" s="2">
        <v>2</v>
      </c>
      <c r="T623" s="1">
        <v>20.4</v>
      </c>
      <c r="U623" s="17">
        <v>0.89760467536325</v>
      </c>
      <c r="V623" s="4">
        <v>21.3</v>
      </c>
      <c r="W623" s="1">
        <v>28.2</v>
      </c>
      <c r="X623" s="13">
        <v>273.83559186778</v>
      </c>
      <c r="Y623" s="9">
        <v>97.6676214617086</v>
      </c>
      <c r="Z623" s="3">
        <v>0.579928089400872</v>
      </c>
    </row>
    <row r="624" spans="2:26">
      <c r="B624" s="1">
        <v>60</v>
      </c>
      <c r="C624" s="1">
        <v>8</v>
      </c>
      <c r="D624" s="1">
        <v>0.0132</v>
      </c>
      <c r="E624" s="1">
        <v>1</v>
      </c>
      <c r="F624" s="2">
        <v>2</v>
      </c>
      <c r="G624" s="1">
        <v>20.4</v>
      </c>
      <c r="H624" s="3">
        <v>0.868253123396246</v>
      </c>
      <c r="I624" s="4">
        <v>21.3</v>
      </c>
      <c r="J624" s="1">
        <v>34.4</v>
      </c>
      <c r="K624" s="4">
        <v>344.207742676263</v>
      </c>
      <c r="L624" s="13">
        <v>140.406271911388</v>
      </c>
      <c r="M624" s="9">
        <v>0.578215896870403</v>
      </c>
      <c r="O624" s="1">
        <v>60</v>
      </c>
      <c r="P624" s="1">
        <v>8</v>
      </c>
      <c r="Q624" s="1">
        <v>0.0132</v>
      </c>
      <c r="R624" s="1">
        <v>1</v>
      </c>
      <c r="S624" s="2">
        <v>2</v>
      </c>
      <c r="T624" s="1">
        <v>20.4</v>
      </c>
      <c r="U624" s="17">
        <v>0.868253123396246</v>
      </c>
      <c r="V624" s="4">
        <v>21.3</v>
      </c>
      <c r="W624" s="1">
        <v>34.4</v>
      </c>
      <c r="X624" s="13">
        <v>344.207742676263</v>
      </c>
      <c r="Y624" s="9">
        <v>140.406271911388</v>
      </c>
      <c r="Z624" s="3">
        <v>0.578215896870403</v>
      </c>
    </row>
    <row r="625" spans="2:26">
      <c r="B625" s="1">
        <v>65</v>
      </c>
      <c r="C625" s="1">
        <v>8</v>
      </c>
      <c r="D625" s="1">
        <v>0.0132</v>
      </c>
      <c r="E625" s="1">
        <v>1</v>
      </c>
      <c r="F625" s="2">
        <v>2</v>
      </c>
      <c r="G625" s="1">
        <v>20.4</v>
      </c>
      <c r="H625" s="3">
        <v>0.831152647810126</v>
      </c>
      <c r="I625" s="4">
        <v>21.3</v>
      </c>
      <c r="J625" s="1">
        <v>40.5</v>
      </c>
      <c r="K625" s="4">
        <v>422.884466724713</v>
      </c>
      <c r="L625" s="13">
        <v>200.387437315869</v>
      </c>
      <c r="M625" s="9">
        <v>0.559012382376324</v>
      </c>
      <c r="O625" s="1">
        <v>65</v>
      </c>
      <c r="P625" s="1">
        <v>8</v>
      </c>
      <c r="Q625" s="1">
        <v>0.0132</v>
      </c>
      <c r="R625" s="1">
        <v>1</v>
      </c>
      <c r="S625" s="2">
        <v>2</v>
      </c>
      <c r="T625" s="1">
        <v>20.4</v>
      </c>
      <c r="U625" s="17">
        <v>0.831152647810126</v>
      </c>
      <c r="V625" s="4">
        <v>21.3</v>
      </c>
      <c r="W625" s="1">
        <v>40.5</v>
      </c>
      <c r="X625" s="13">
        <v>422.884466724713</v>
      </c>
      <c r="Y625" s="9">
        <v>200.387437315869</v>
      </c>
      <c r="Z625" s="3">
        <v>0.559012382376324</v>
      </c>
    </row>
    <row r="626" spans="2:26">
      <c r="B626" s="1">
        <v>70</v>
      </c>
      <c r="C626" s="1">
        <v>8</v>
      </c>
      <c r="D626" s="1">
        <v>0.0132</v>
      </c>
      <c r="E626" s="1">
        <v>1</v>
      </c>
      <c r="F626" s="2">
        <v>2</v>
      </c>
      <c r="G626" s="1">
        <v>20.4</v>
      </c>
      <c r="H626" s="3">
        <v>0.784179277129304</v>
      </c>
      <c r="I626" s="4">
        <v>21.4</v>
      </c>
      <c r="J626" s="1">
        <v>45.1</v>
      </c>
      <c r="K626" s="4">
        <v>505.420179575293</v>
      </c>
      <c r="L626" s="13">
        <v>217.197447992515</v>
      </c>
      <c r="M626" s="9">
        <v>0.51360100061061</v>
      </c>
      <c r="O626" s="1">
        <v>45</v>
      </c>
      <c r="P626" s="1">
        <v>4.8</v>
      </c>
      <c r="Q626" s="1">
        <v>0.03</v>
      </c>
      <c r="R626" s="1">
        <v>1</v>
      </c>
      <c r="S626" s="2">
        <v>2</v>
      </c>
      <c r="T626" s="1">
        <v>20.8</v>
      </c>
      <c r="U626" s="17">
        <v>0.93913980595102</v>
      </c>
      <c r="V626" s="4">
        <v>21</v>
      </c>
      <c r="W626" s="1">
        <v>5.7</v>
      </c>
      <c r="X626" s="13">
        <v>106.964873718852</v>
      </c>
      <c r="Y626" s="9">
        <v>26.4618743693882</v>
      </c>
      <c r="Z626" s="3">
        <v>0.674415832000584</v>
      </c>
    </row>
    <row r="627" spans="2:26">
      <c r="B627" s="1">
        <v>45</v>
      </c>
      <c r="C627" s="1">
        <v>4.8</v>
      </c>
      <c r="D627" s="1">
        <v>0.03</v>
      </c>
      <c r="E627" s="1">
        <v>1</v>
      </c>
      <c r="F627" s="2">
        <v>2</v>
      </c>
      <c r="G627" s="1">
        <v>20.8</v>
      </c>
      <c r="H627" s="3">
        <v>0.93913980595102</v>
      </c>
      <c r="I627" s="4">
        <v>21</v>
      </c>
      <c r="J627" s="1">
        <v>5.7</v>
      </c>
      <c r="K627" s="4">
        <v>106.964873718852</v>
      </c>
      <c r="L627" s="13">
        <v>26.4618743693882</v>
      </c>
      <c r="M627" s="9">
        <v>0.674415832000584</v>
      </c>
      <c r="O627" s="1">
        <v>50</v>
      </c>
      <c r="P627" s="1">
        <v>4.8</v>
      </c>
      <c r="Q627" s="1">
        <v>0.03</v>
      </c>
      <c r="R627" s="1">
        <v>1</v>
      </c>
      <c r="S627" s="2">
        <v>2</v>
      </c>
      <c r="T627" s="1">
        <v>20.8</v>
      </c>
      <c r="U627" s="17">
        <v>0.920818198615511</v>
      </c>
      <c r="V627" s="4">
        <v>21</v>
      </c>
      <c r="W627" s="1">
        <v>7.6</v>
      </c>
      <c r="X627" s="13">
        <v>143.295938918919</v>
      </c>
      <c r="Y627" s="9">
        <v>31.3518873987083</v>
      </c>
      <c r="Z627" s="3">
        <v>0.727515596474211</v>
      </c>
    </row>
    <row r="628" spans="2:26">
      <c r="B628" s="1">
        <v>50</v>
      </c>
      <c r="C628" s="1">
        <v>4.8</v>
      </c>
      <c r="D628" s="1">
        <v>0.03</v>
      </c>
      <c r="E628" s="1">
        <v>1</v>
      </c>
      <c r="F628" s="2">
        <v>2</v>
      </c>
      <c r="G628" s="1">
        <v>20.8</v>
      </c>
      <c r="H628" s="3">
        <v>0.920818198615511</v>
      </c>
      <c r="I628" s="4">
        <v>21</v>
      </c>
      <c r="J628" s="1">
        <v>7.6</v>
      </c>
      <c r="K628" s="4">
        <v>143.295938918919</v>
      </c>
      <c r="L628" s="13">
        <v>31.3518873987083</v>
      </c>
      <c r="M628" s="9">
        <v>0.727515596474211</v>
      </c>
      <c r="O628" s="1">
        <v>55</v>
      </c>
      <c r="P628" s="1">
        <v>4.8</v>
      </c>
      <c r="Q628" s="1">
        <v>0.03</v>
      </c>
      <c r="R628" s="1">
        <v>1</v>
      </c>
      <c r="S628" s="2">
        <v>2</v>
      </c>
      <c r="T628" s="1">
        <v>20.8</v>
      </c>
      <c r="U628" s="17">
        <v>0.89760467536325</v>
      </c>
      <c r="V628" s="4">
        <v>21</v>
      </c>
      <c r="W628" s="1">
        <v>10.3</v>
      </c>
      <c r="X628" s="13">
        <v>190.72641257502</v>
      </c>
      <c r="Y628" s="9">
        <v>38.4938722246017</v>
      </c>
      <c r="Z628" s="3">
        <v>0.801953281274553</v>
      </c>
    </row>
    <row r="629" spans="2:26">
      <c r="B629" s="1">
        <v>55</v>
      </c>
      <c r="C629" s="1">
        <v>4.8</v>
      </c>
      <c r="D629" s="1">
        <v>0.03</v>
      </c>
      <c r="E629" s="1">
        <v>1</v>
      </c>
      <c r="F629" s="2">
        <v>2</v>
      </c>
      <c r="G629" s="1">
        <v>20.8</v>
      </c>
      <c r="H629" s="3">
        <v>0.89760467536325</v>
      </c>
      <c r="I629" s="4">
        <v>21</v>
      </c>
      <c r="J629" s="1">
        <v>10.3</v>
      </c>
      <c r="K629" s="4">
        <v>190.72641257502</v>
      </c>
      <c r="L629" s="13">
        <v>38.4938722246017</v>
      </c>
      <c r="M629" s="9">
        <v>0.801953281274553</v>
      </c>
      <c r="O629" s="1">
        <v>60</v>
      </c>
      <c r="P629" s="1">
        <v>4.8</v>
      </c>
      <c r="Q629" s="1">
        <v>0.03</v>
      </c>
      <c r="R629" s="1">
        <v>1</v>
      </c>
      <c r="S629" s="2">
        <v>2</v>
      </c>
      <c r="T629" s="1">
        <v>20.8</v>
      </c>
      <c r="U629" s="17">
        <v>0.868253123396246</v>
      </c>
      <c r="V629" s="4">
        <v>21.1</v>
      </c>
      <c r="W629" s="1">
        <v>13.4</v>
      </c>
      <c r="X629" s="13">
        <v>246.148035864821</v>
      </c>
      <c r="Y629" s="9">
        <v>42.9972093346108</v>
      </c>
      <c r="Z629" s="3">
        <v>0.852892054516935</v>
      </c>
    </row>
    <row r="630" spans="2:26">
      <c r="B630" s="1">
        <v>60</v>
      </c>
      <c r="C630" s="1">
        <v>4.8</v>
      </c>
      <c r="D630" s="1">
        <v>0.03</v>
      </c>
      <c r="E630" s="1">
        <v>1</v>
      </c>
      <c r="F630" s="2">
        <v>2</v>
      </c>
      <c r="G630" s="1">
        <v>20.8</v>
      </c>
      <c r="H630" s="3">
        <v>0.868253123396246</v>
      </c>
      <c r="I630" s="4">
        <v>21.1</v>
      </c>
      <c r="J630" s="1">
        <v>13.4</v>
      </c>
      <c r="K630" s="4">
        <v>246.148035864821</v>
      </c>
      <c r="L630" s="13">
        <v>42.9972093346108</v>
      </c>
      <c r="M630" s="9">
        <v>0.852892054516935</v>
      </c>
      <c r="O630" s="1">
        <v>65</v>
      </c>
      <c r="P630" s="1">
        <v>4.8</v>
      </c>
      <c r="Q630" s="1">
        <v>0.03</v>
      </c>
      <c r="R630" s="1">
        <v>1</v>
      </c>
      <c r="S630" s="2">
        <v>2</v>
      </c>
      <c r="T630" s="1">
        <v>20.8</v>
      </c>
      <c r="U630" s="17">
        <v>0.831152647810126</v>
      </c>
      <c r="V630" s="4">
        <v>21.1</v>
      </c>
      <c r="W630" s="1">
        <v>16.7</v>
      </c>
      <c r="X630" s="13">
        <v>308.748459188709</v>
      </c>
      <c r="Y630" s="9">
        <v>51.2858298032414</v>
      </c>
      <c r="Z630" s="3">
        <v>0.872854096911168</v>
      </c>
    </row>
    <row r="631" spans="2:26">
      <c r="B631" s="1">
        <v>65</v>
      </c>
      <c r="C631" s="1">
        <v>4.8</v>
      </c>
      <c r="D631" s="1">
        <v>0.03</v>
      </c>
      <c r="E631" s="1">
        <v>1</v>
      </c>
      <c r="F631" s="2">
        <v>2</v>
      </c>
      <c r="G631" s="1">
        <v>20.8</v>
      </c>
      <c r="H631" s="3">
        <v>0.831152647810126</v>
      </c>
      <c r="I631" s="4">
        <v>21.1</v>
      </c>
      <c r="J631" s="1">
        <v>16.7</v>
      </c>
      <c r="K631" s="4">
        <v>308.748459188709</v>
      </c>
      <c r="L631" s="13">
        <v>51.2858298032414</v>
      </c>
      <c r="M631" s="9">
        <v>0.872854096911168</v>
      </c>
      <c r="O631" s="1">
        <v>70</v>
      </c>
      <c r="P631" s="1">
        <v>4.8</v>
      </c>
      <c r="Q631" s="1">
        <v>0.03</v>
      </c>
      <c r="R631" s="1">
        <v>1</v>
      </c>
      <c r="S631" s="2">
        <v>2</v>
      </c>
      <c r="T631" s="1">
        <v>20.8</v>
      </c>
      <c r="U631" s="17">
        <v>0.784179277129304</v>
      </c>
      <c r="V631" s="4">
        <v>21.1</v>
      </c>
      <c r="W631" s="1">
        <v>20.9</v>
      </c>
      <c r="X631" s="13">
        <v>385.601863941149</v>
      </c>
      <c r="Y631" s="9">
        <v>62.6167107233191</v>
      </c>
      <c r="Z631" s="3">
        <v>0.901129833747277</v>
      </c>
    </row>
    <row r="632" spans="2:26">
      <c r="B632" s="1">
        <v>70</v>
      </c>
      <c r="C632" s="1">
        <v>4.8</v>
      </c>
      <c r="D632" s="1">
        <v>0.03</v>
      </c>
      <c r="E632" s="1">
        <v>1</v>
      </c>
      <c r="F632" s="2">
        <v>2</v>
      </c>
      <c r="G632" s="1">
        <v>20.8</v>
      </c>
      <c r="H632" s="3">
        <v>0.784179277129304</v>
      </c>
      <c r="I632" s="4">
        <v>21.1</v>
      </c>
      <c r="J632" s="1">
        <v>20.9</v>
      </c>
      <c r="K632" s="4">
        <v>385.601863941149</v>
      </c>
      <c r="L632" s="13">
        <v>62.6167107233191</v>
      </c>
      <c r="M632" s="9">
        <v>0.901129833747277</v>
      </c>
      <c r="O632" s="1">
        <v>45</v>
      </c>
      <c r="P632" s="1">
        <v>5.5</v>
      </c>
      <c r="Q632" s="1">
        <v>0.03</v>
      </c>
      <c r="R632" s="1">
        <v>1</v>
      </c>
      <c r="S632" s="2">
        <v>2</v>
      </c>
      <c r="T632" s="1">
        <v>20.8</v>
      </c>
      <c r="U632" s="17">
        <v>0.93913980595102</v>
      </c>
      <c r="V632" s="4">
        <v>21.2</v>
      </c>
      <c r="W632" s="1">
        <v>6.7</v>
      </c>
      <c r="X632" s="13">
        <v>123.787069499556</v>
      </c>
      <c r="Y632" s="9">
        <v>27.3525382384567</v>
      </c>
      <c r="Z632" s="3">
        <v>0.692066856443179</v>
      </c>
    </row>
    <row r="633" spans="2:26">
      <c r="B633" s="1">
        <v>45</v>
      </c>
      <c r="C633" s="1">
        <v>5.5</v>
      </c>
      <c r="D633" s="1">
        <v>0.03</v>
      </c>
      <c r="E633" s="1">
        <v>1</v>
      </c>
      <c r="F633" s="2">
        <v>2</v>
      </c>
      <c r="G633" s="1">
        <v>20.8</v>
      </c>
      <c r="H633" s="3">
        <v>0.93913980595102</v>
      </c>
      <c r="I633" s="4">
        <v>21.2</v>
      </c>
      <c r="J633" s="1">
        <v>6.7</v>
      </c>
      <c r="K633" s="4">
        <v>123.787069499556</v>
      </c>
      <c r="L633" s="13">
        <v>27.3525382384567</v>
      </c>
      <c r="M633" s="9">
        <v>0.692066856443179</v>
      </c>
      <c r="O633" s="1">
        <v>50</v>
      </c>
      <c r="P633" s="1">
        <v>5.5</v>
      </c>
      <c r="Q633" s="1">
        <v>0.03</v>
      </c>
      <c r="R633" s="1">
        <v>1</v>
      </c>
      <c r="S633" s="2">
        <v>2</v>
      </c>
      <c r="T633" s="1">
        <v>20.8</v>
      </c>
      <c r="U633" s="17">
        <v>0.920818198615511</v>
      </c>
      <c r="V633" s="4">
        <v>21.3</v>
      </c>
      <c r="W633" s="1">
        <v>8.8</v>
      </c>
      <c r="X633" s="13">
        <v>164.561911640136</v>
      </c>
      <c r="Y633" s="9">
        <v>30.6687343207221</v>
      </c>
      <c r="Z633" s="3">
        <v>0.735530854801073</v>
      </c>
    </row>
    <row r="634" spans="2:26">
      <c r="B634" s="1">
        <v>50</v>
      </c>
      <c r="C634" s="1">
        <v>5.5</v>
      </c>
      <c r="D634" s="1">
        <v>0.03</v>
      </c>
      <c r="E634" s="1">
        <v>1</v>
      </c>
      <c r="F634" s="2">
        <v>2</v>
      </c>
      <c r="G634" s="1">
        <v>20.8</v>
      </c>
      <c r="H634" s="3">
        <v>0.920818198615511</v>
      </c>
      <c r="I634" s="4">
        <v>21.3</v>
      </c>
      <c r="J634" s="1">
        <v>8.8</v>
      </c>
      <c r="K634" s="4">
        <v>164.561911640136</v>
      </c>
      <c r="L634" s="13">
        <v>30.6687343207221</v>
      </c>
      <c r="M634" s="9">
        <v>0.735530854801073</v>
      </c>
      <c r="O634" s="1">
        <v>55</v>
      </c>
      <c r="P634" s="1">
        <v>5.5</v>
      </c>
      <c r="Q634" s="1">
        <v>0.03</v>
      </c>
      <c r="R634" s="1">
        <v>1</v>
      </c>
      <c r="S634" s="2">
        <v>2</v>
      </c>
      <c r="T634" s="1">
        <v>20.8</v>
      </c>
      <c r="U634" s="17">
        <v>0.89760467536325</v>
      </c>
      <c r="V634" s="4">
        <v>21.3</v>
      </c>
      <c r="W634" s="1">
        <v>11.2</v>
      </c>
      <c r="X634" s="13">
        <v>212.593349617432</v>
      </c>
      <c r="Y634" s="9">
        <v>36.1752755094925</v>
      </c>
      <c r="Z634" s="3">
        <v>0.761408428730996</v>
      </c>
    </row>
    <row r="635" spans="2:26">
      <c r="B635" s="1">
        <v>55</v>
      </c>
      <c r="C635" s="1">
        <v>5.5</v>
      </c>
      <c r="D635" s="1">
        <v>0.03</v>
      </c>
      <c r="E635" s="1">
        <v>1</v>
      </c>
      <c r="F635" s="2">
        <v>2</v>
      </c>
      <c r="G635" s="1">
        <v>20.8</v>
      </c>
      <c r="H635" s="3">
        <v>0.89760467536325</v>
      </c>
      <c r="I635" s="4">
        <v>21.3</v>
      </c>
      <c r="J635" s="1">
        <v>11.2</v>
      </c>
      <c r="K635" s="4">
        <v>212.593349617432</v>
      </c>
      <c r="L635" s="13">
        <v>36.1752755094925</v>
      </c>
      <c r="M635" s="9">
        <v>0.761408428730996</v>
      </c>
      <c r="O635" s="1">
        <v>60</v>
      </c>
      <c r="P635" s="1">
        <v>5.5</v>
      </c>
      <c r="Q635" s="1">
        <v>0.03</v>
      </c>
      <c r="R635" s="1">
        <v>1</v>
      </c>
      <c r="S635" s="2">
        <v>2</v>
      </c>
      <c r="T635" s="1">
        <v>20.8</v>
      </c>
      <c r="U635" s="17">
        <v>0.868253123396246</v>
      </c>
      <c r="V635" s="4">
        <v>21.3</v>
      </c>
      <c r="W635" s="1">
        <v>14.7</v>
      </c>
      <c r="X635" s="13">
        <v>275.780843923264</v>
      </c>
      <c r="Y635" s="9">
        <v>44.7203952587765</v>
      </c>
      <c r="Z635" s="3">
        <v>0.816814691908027</v>
      </c>
    </row>
    <row r="636" spans="2:26">
      <c r="B636" s="1">
        <v>60</v>
      </c>
      <c r="C636" s="1">
        <v>5.5</v>
      </c>
      <c r="D636" s="1">
        <v>0.03</v>
      </c>
      <c r="E636" s="1">
        <v>1</v>
      </c>
      <c r="F636" s="2">
        <v>2</v>
      </c>
      <c r="G636" s="1">
        <v>20.8</v>
      </c>
      <c r="H636" s="3">
        <v>0.868253123396246</v>
      </c>
      <c r="I636" s="4">
        <v>21.3</v>
      </c>
      <c r="J636" s="1">
        <v>14.7</v>
      </c>
      <c r="K636" s="4">
        <v>275.780843923264</v>
      </c>
      <c r="L636" s="13">
        <v>44.7203952587765</v>
      </c>
      <c r="M636" s="9">
        <v>0.816814691908027</v>
      </c>
      <c r="O636" s="1">
        <v>65</v>
      </c>
      <c r="P636" s="1">
        <v>5.5</v>
      </c>
      <c r="Q636" s="1">
        <v>0.03</v>
      </c>
      <c r="R636" s="1">
        <v>1</v>
      </c>
      <c r="S636" s="2">
        <v>2</v>
      </c>
      <c r="T636" s="1">
        <v>20.7</v>
      </c>
      <c r="U636" s="17">
        <v>0.831152647810126</v>
      </c>
      <c r="V636" s="4">
        <v>21.3</v>
      </c>
      <c r="W636" s="1">
        <v>19.5</v>
      </c>
      <c r="X636" s="13">
        <v>356.80240681074</v>
      </c>
      <c r="Y636" s="9">
        <v>54.8719237754001</v>
      </c>
      <c r="Z636" s="3">
        <v>0.889765653001801</v>
      </c>
    </row>
    <row r="637" spans="2:26">
      <c r="B637" s="1">
        <v>65</v>
      </c>
      <c r="C637" s="1">
        <v>5.5</v>
      </c>
      <c r="D637" s="1">
        <v>0.03</v>
      </c>
      <c r="E637" s="1">
        <v>1</v>
      </c>
      <c r="F637" s="2">
        <v>2</v>
      </c>
      <c r="G637" s="1">
        <v>20.7</v>
      </c>
      <c r="H637" s="3">
        <v>0.831152647810126</v>
      </c>
      <c r="I637" s="4">
        <v>21.3</v>
      </c>
      <c r="J637" s="1">
        <v>19.5</v>
      </c>
      <c r="K637" s="4">
        <v>356.80240681074</v>
      </c>
      <c r="L637" s="13">
        <v>54.8719237754001</v>
      </c>
      <c r="M637" s="9">
        <v>0.889765653001801</v>
      </c>
      <c r="O637" s="1">
        <v>70</v>
      </c>
      <c r="P637" s="1">
        <v>5.5</v>
      </c>
      <c r="Q637" s="1">
        <v>0.03</v>
      </c>
      <c r="R637" s="1">
        <v>1</v>
      </c>
      <c r="S637" s="2">
        <v>2</v>
      </c>
      <c r="T637" s="1">
        <v>20.7</v>
      </c>
      <c r="U637" s="17">
        <v>0.784179277129304</v>
      </c>
      <c r="V637" s="4">
        <v>21.3</v>
      </c>
      <c r="W637" s="1">
        <v>24</v>
      </c>
      <c r="X637" s="13">
        <v>442.022727840055</v>
      </c>
      <c r="Y637" s="9">
        <v>66.958927440785</v>
      </c>
      <c r="Z637" s="3">
        <v>0.903372964624433</v>
      </c>
    </row>
    <row r="638" spans="2:26">
      <c r="B638" s="1">
        <v>70</v>
      </c>
      <c r="C638" s="1">
        <v>5.5</v>
      </c>
      <c r="D638" s="1">
        <v>0.03</v>
      </c>
      <c r="E638" s="1">
        <v>1</v>
      </c>
      <c r="F638" s="2">
        <v>2</v>
      </c>
      <c r="G638" s="1">
        <v>20.7</v>
      </c>
      <c r="H638" s="3">
        <v>0.784179277129304</v>
      </c>
      <c r="I638" s="4">
        <v>21.3</v>
      </c>
      <c r="J638" s="1">
        <v>24</v>
      </c>
      <c r="K638" s="4">
        <v>442.022727840055</v>
      </c>
      <c r="L638" s="13">
        <v>66.958927440785</v>
      </c>
      <c r="M638" s="9">
        <v>0.903372964624433</v>
      </c>
      <c r="O638" s="1">
        <v>45</v>
      </c>
      <c r="P638" s="1">
        <v>6.6</v>
      </c>
      <c r="Q638" s="1">
        <v>0.03</v>
      </c>
      <c r="R638" s="1">
        <v>1</v>
      </c>
      <c r="S638" s="2">
        <v>2</v>
      </c>
      <c r="T638" s="1">
        <v>20.7</v>
      </c>
      <c r="U638" s="17">
        <v>0.93913980595102</v>
      </c>
      <c r="V638" s="4">
        <v>21.3</v>
      </c>
      <c r="W638" s="1">
        <v>8.1</v>
      </c>
      <c r="X638" s="13">
        <v>148.901395986261</v>
      </c>
      <c r="Y638" s="9">
        <v>31.4586352750658</v>
      </c>
      <c r="Z638" s="3">
        <v>0.697345340680712</v>
      </c>
    </row>
    <row r="639" spans="2:26">
      <c r="B639" s="1">
        <v>45</v>
      </c>
      <c r="C639" s="1">
        <v>6.6</v>
      </c>
      <c r="D639" s="1">
        <v>0.03</v>
      </c>
      <c r="E639" s="1">
        <v>1</v>
      </c>
      <c r="F639" s="2">
        <v>2</v>
      </c>
      <c r="G639" s="1">
        <v>20.7</v>
      </c>
      <c r="H639" s="3">
        <v>0.93913980595102</v>
      </c>
      <c r="I639" s="4">
        <v>21.3</v>
      </c>
      <c r="J639" s="1">
        <v>8.1</v>
      </c>
      <c r="K639" s="4">
        <v>148.901395986261</v>
      </c>
      <c r="L639" s="13">
        <v>31.4586352750658</v>
      </c>
      <c r="M639" s="9">
        <v>0.697345340680712</v>
      </c>
      <c r="O639" s="1">
        <v>50</v>
      </c>
      <c r="P639" s="1">
        <v>6.6</v>
      </c>
      <c r="Q639" s="1">
        <v>0.03</v>
      </c>
      <c r="R639" s="1">
        <v>1</v>
      </c>
      <c r="S639" s="2">
        <v>2</v>
      </c>
      <c r="T639" s="1">
        <v>20.7</v>
      </c>
      <c r="U639" s="17">
        <v>0.920818198615511</v>
      </c>
      <c r="V639" s="4">
        <v>21.3</v>
      </c>
      <c r="W639" s="1">
        <v>10.8</v>
      </c>
      <c r="X639" s="13">
        <v>199.661793968164</v>
      </c>
      <c r="Y639" s="9">
        <v>38.2435586146242</v>
      </c>
      <c r="Z639" s="3">
        <v>0.752247465137461</v>
      </c>
    </row>
    <row r="640" spans="2:26">
      <c r="B640" s="1">
        <v>50</v>
      </c>
      <c r="C640" s="1">
        <v>6.6</v>
      </c>
      <c r="D640" s="1">
        <v>0.03</v>
      </c>
      <c r="E640" s="1">
        <v>1</v>
      </c>
      <c r="F640" s="2">
        <v>2</v>
      </c>
      <c r="G640" s="1">
        <v>20.7</v>
      </c>
      <c r="H640" s="3">
        <v>0.920818198615511</v>
      </c>
      <c r="I640" s="4">
        <v>21.3</v>
      </c>
      <c r="J640" s="1">
        <v>10.8</v>
      </c>
      <c r="K640" s="4">
        <v>199.661793968164</v>
      </c>
      <c r="L640" s="13">
        <v>38.2435586146242</v>
      </c>
      <c r="M640" s="9">
        <v>0.752247465137461</v>
      </c>
      <c r="O640" s="1">
        <v>55</v>
      </c>
      <c r="P640" s="1">
        <v>6.6</v>
      </c>
      <c r="Q640" s="1">
        <v>0.03</v>
      </c>
      <c r="R640" s="1">
        <v>1</v>
      </c>
      <c r="S640" s="2">
        <v>2</v>
      </c>
      <c r="T640" s="1">
        <v>20.7</v>
      </c>
      <c r="U640" s="17">
        <v>0.89760467536325</v>
      </c>
      <c r="V640" s="4">
        <v>21.3</v>
      </c>
      <c r="W640" s="1">
        <v>14.1</v>
      </c>
      <c r="X640" s="13">
        <v>261.127644540919</v>
      </c>
      <c r="Y640" s="9">
        <v>46.8498729914089</v>
      </c>
      <c r="Z640" s="3">
        <v>0.798799021213322</v>
      </c>
    </row>
    <row r="641" spans="2:26">
      <c r="B641" s="1">
        <v>55</v>
      </c>
      <c r="C641" s="1">
        <v>6.6</v>
      </c>
      <c r="D641" s="1">
        <v>0.03</v>
      </c>
      <c r="E641" s="1">
        <v>1</v>
      </c>
      <c r="F641" s="2">
        <v>2</v>
      </c>
      <c r="G641" s="1">
        <v>20.7</v>
      </c>
      <c r="H641" s="3">
        <v>0.89760467536325</v>
      </c>
      <c r="I641" s="4">
        <v>21.3</v>
      </c>
      <c r="J641" s="1">
        <v>14.1</v>
      </c>
      <c r="K641" s="4">
        <v>261.127644540919</v>
      </c>
      <c r="L641" s="13">
        <v>46.8498729914089</v>
      </c>
      <c r="M641" s="9">
        <v>0.798799021213322</v>
      </c>
      <c r="O641" s="1">
        <v>60</v>
      </c>
      <c r="P641" s="1">
        <v>6.6</v>
      </c>
      <c r="Q641" s="1">
        <v>0.03</v>
      </c>
      <c r="R641" s="1">
        <v>1</v>
      </c>
      <c r="S641" s="2">
        <v>2</v>
      </c>
      <c r="T641" s="1">
        <v>20.8</v>
      </c>
      <c r="U641" s="17">
        <v>0.868253123396246</v>
      </c>
      <c r="V641" s="4">
        <v>21.3</v>
      </c>
      <c r="W641" s="1">
        <v>18.4</v>
      </c>
      <c r="X641" s="13">
        <v>337.86409604125</v>
      </c>
      <c r="Y641" s="9">
        <v>62.0488272396538</v>
      </c>
      <c r="Z641" s="3">
        <v>0.852006254597942</v>
      </c>
    </row>
    <row r="642" spans="2:26">
      <c r="B642" s="1">
        <v>60</v>
      </c>
      <c r="C642" s="1">
        <v>6.6</v>
      </c>
      <c r="D642" s="1">
        <v>0.03</v>
      </c>
      <c r="E642" s="1">
        <v>1</v>
      </c>
      <c r="F642" s="2">
        <v>2</v>
      </c>
      <c r="G642" s="1">
        <v>20.8</v>
      </c>
      <c r="H642" s="3">
        <v>0.868253123396246</v>
      </c>
      <c r="I642" s="4">
        <v>21.3</v>
      </c>
      <c r="J642" s="1">
        <v>18.4</v>
      </c>
      <c r="K642" s="4">
        <v>337.86409604125</v>
      </c>
      <c r="L642" s="13">
        <v>62.0488272396538</v>
      </c>
      <c r="M642" s="9">
        <v>0.852006254597942</v>
      </c>
      <c r="O642" s="1">
        <v>65</v>
      </c>
      <c r="P642" s="1">
        <v>6.6</v>
      </c>
      <c r="Q642" s="1">
        <v>0.03</v>
      </c>
      <c r="R642" s="1">
        <v>1</v>
      </c>
      <c r="S642" s="2">
        <v>2</v>
      </c>
      <c r="T642" s="1">
        <v>20.8</v>
      </c>
      <c r="U642" s="17">
        <v>0.831152647810126</v>
      </c>
      <c r="V642" s="4">
        <v>21.3</v>
      </c>
      <c r="W642" s="1">
        <v>22.7</v>
      </c>
      <c r="X642" s="13">
        <v>421.782679839555</v>
      </c>
      <c r="Y642" s="9">
        <v>75.5432887719083</v>
      </c>
      <c r="Z642" s="3">
        <v>0.863148731758157</v>
      </c>
    </row>
    <row r="643" spans="2:26">
      <c r="B643" s="1">
        <v>65</v>
      </c>
      <c r="C643" s="1">
        <v>6.6</v>
      </c>
      <c r="D643" s="1">
        <v>0.03</v>
      </c>
      <c r="E643" s="1">
        <v>1</v>
      </c>
      <c r="F643" s="2">
        <v>2</v>
      </c>
      <c r="G643" s="1">
        <v>20.8</v>
      </c>
      <c r="H643" s="3">
        <v>0.831152647810126</v>
      </c>
      <c r="I643" s="4">
        <v>21.3</v>
      </c>
      <c r="J643" s="1">
        <v>22.7</v>
      </c>
      <c r="K643" s="4">
        <v>421.782679839555</v>
      </c>
      <c r="L643" s="13">
        <v>75.5432887719083</v>
      </c>
      <c r="M643" s="9">
        <v>0.863148731758157</v>
      </c>
      <c r="O643" s="1">
        <v>70</v>
      </c>
      <c r="P643" s="1">
        <v>6.6</v>
      </c>
      <c r="Q643" s="1">
        <v>0.03</v>
      </c>
      <c r="R643" s="1">
        <v>1</v>
      </c>
      <c r="S643" s="2">
        <v>2</v>
      </c>
      <c r="T643" s="1">
        <v>20.8</v>
      </c>
      <c r="U643" s="17">
        <v>0.784179277129304</v>
      </c>
      <c r="V643" s="4">
        <v>21.3</v>
      </c>
      <c r="W643" s="1">
        <v>28.2</v>
      </c>
      <c r="X643" s="13">
        <v>524.958523408065</v>
      </c>
      <c r="Y643" s="9">
        <v>95.7132450634743</v>
      </c>
      <c r="Z643" s="3">
        <v>0.884552694528091</v>
      </c>
    </row>
    <row r="644" spans="2:26">
      <c r="B644" s="1">
        <v>70</v>
      </c>
      <c r="C644" s="1">
        <v>6.6</v>
      </c>
      <c r="D644" s="1">
        <v>0.03</v>
      </c>
      <c r="E644" s="1">
        <v>1</v>
      </c>
      <c r="F644" s="2">
        <v>2</v>
      </c>
      <c r="G644" s="1">
        <v>20.8</v>
      </c>
      <c r="H644" s="3">
        <v>0.784179277129304</v>
      </c>
      <c r="I644" s="4">
        <v>21.3</v>
      </c>
      <c r="J644" s="1">
        <v>28.2</v>
      </c>
      <c r="K644" s="4">
        <v>524.958523408065</v>
      </c>
      <c r="L644" s="13">
        <v>95.7132450634743</v>
      </c>
      <c r="M644" s="9">
        <v>0.884552694528091</v>
      </c>
      <c r="O644" s="1">
        <v>45</v>
      </c>
      <c r="P644" s="1">
        <v>8</v>
      </c>
      <c r="Q644" s="1">
        <v>0.03</v>
      </c>
      <c r="R644" s="1">
        <v>1</v>
      </c>
      <c r="S644" s="2">
        <v>2</v>
      </c>
      <c r="T644" s="1">
        <v>20.7</v>
      </c>
      <c r="U644" s="17">
        <v>0.93913980595102</v>
      </c>
      <c r="V644" s="4">
        <v>21</v>
      </c>
      <c r="W644" s="1">
        <v>9.3</v>
      </c>
      <c r="X644" s="13">
        <v>176.451872864753</v>
      </c>
      <c r="Y644" s="9">
        <v>46.9580806801223</v>
      </c>
      <c r="Z644" s="3">
        <v>0.660217603958466</v>
      </c>
    </row>
    <row r="645" spans="2:26">
      <c r="B645" s="1">
        <v>45</v>
      </c>
      <c r="C645" s="1">
        <v>8</v>
      </c>
      <c r="D645" s="1">
        <v>0.03</v>
      </c>
      <c r="E645" s="1">
        <v>1</v>
      </c>
      <c r="F645" s="2">
        <v>2</v>
      </c>
      <c r="G645" s="1">
        <v>20.7</v>
      </c>
      <c r="H645" s="3">
        <v>0.93913980595102</v>
      </c>
      <c r="I645" s="4">
        <v>21</v>
      </c>
      <c r="J645" s="1">
        <v>9.3</v>
      </c>
      <c r="K645" s="4">
        <v>176.451872864753</v>
      </c>
      <c r="L645" s="13">
        <v>46.9580806801223</v>
      </c>
      <c r="M645" s="9">
        <v>0.660217603958466</v>
      </c>
      <c r="O645" s="1">
        <v>50</v>
      </c>
      <c r="P645" s="1">
        <v>8</v>
      </c>
      <c r="Q645" s="1">
        <v>0.03</v>
      </c>
      <c r="R645" s="1">
        <v>1</v>
      </c>
      <c r="S645" s="2">
        <v>2</v>
      </c>
      <c r="T645" s="1">
        <v>20.7</v>
      </c>
      <c r="U645" s="17">
        <v>0.920818198615511</v>
      </c>
      <c r="V645" s="4">
        <v>21</v>
      </c>
      <c r="W645" s="1">
        <v>13.1</v>
      </c>
      <c r="X645" s="13">
        <v>242.776217642644</v>
      </c>
      <c r="Y645" s="9">
        <v>60.9075760416177</v>
      </c>
      <c r="Z645" s="3">
        <v>0.75240428793254</v>
      </c>
    </row>
    <row r="646" spans="2:26">
      <c r="B646" s="1">
        <v>50</v>
      </c>
      <c r="C646" s="1">
        <v>8</v>
      </c>
      <c r="D646" s="1">
        <v>0.03</v>
      </c>
      <c r="E646" s="1">
        <v>1</v>
      </c>
      <c r="F646" s="2">
        <v>2</v>
      </c>
      <c r="G646" s="1">
        <v>20.7</v>
      </c>
      <c r="H646" s="3">
        <v>0.920818198615511</v>
      </c>
      <c r="I646" s="4">
        <v>21</v>
      </c>
      <c r="J646" s="1">
        <v>13.1</v>
      </c>
      <c r="K646" s="4">
        <v>242.776217642644</v>
      </c>
      <c r="L646" s="13">
        <v>60.9075760416177</v>
      </c>
      <c r="M646" s="9">
        <v>0.75240428793254</v>
      </c>
      <c r="O646" s="1">
        <v>55</v>
      </c>
      <c r="P646" s="1">
        <v>8</v>
      </c>
      <c r="Q646" s="1">
        <v>0.03</v>
      </c>
      <c r="R646" s="1">
        <v>1</v>
      </c>
      <c r="S646" s="2">
        <v>2</v>
      </c>
      <c r="T646" s="1">
        <v>20.7</v>
      </c>
      <c r="U646" s="17">
        <v>0.89760467536325</v>
      </c>
      <c r="V646" s="4">
        <v>21</v>
      </c>
      <c r="W646" s="1">
        <v>17.3</v>
      </c>
      <c r="X646" s="13">
        <v>319.092632069477</v>
      </c>
      <c r="Y646" s="9">
        <v>77.1399014515985</v>
      </c>
      <c r="Z646" s="3">
        <v>0.808182044624258</v>
      </c>
    </row>
    <row r="647" spans="2:26">
      <c r="B647" s="1">
        <v>55</v>
      </c>
      <c r="C647" s="1">
        <v>8</v>
      </c>
      <c r="D647" s="1">
        <v>0.03</v>
      </c>
      <c r="E647" s="1">
        <v>1</v>
      </c>
      <c r="F647" s="2">
        <v>2</v>
      </c>
      <c r="G647" s="1">
        <v>20.7</v>
      </c>
      <c r="H647" s="3">
        <v>0.89760467536325</v>
      </c>
      <c r="I647" s="4">
        <v>21</v>
      </c>
      <c r="J647" s="1">
        <v>17.3</v>
      </c>
      <c r="K647" s="4">
        <v>319.092632069477</v>
      </c>
      <c r="L647" s="13">
        <v>77.1399014515985</v>
      </c>
      <c r="M647" s="9">
        <v>0.808182044624258</v>
      </c>
      <c r="O647" s="1">
        <v>60</v>
      </c>
      <c r="P647" s="1">
        <v>8</v>
      </c>
      <c r="Q647" s="1">
        <v>0.03</v>
      </c>
      <c r="R647" s="1">
        <v>1</v>
      </c>
      <c r="S647" s="2">
        <v>2</v>
      </c>
      <c r="T647" s="1">
        <v>20.7</v>
      </c>
      <c r="U647" s="17">
        <v>0.868253123396246</v>
      </c>
      <c r="V647" s="4">
        <v>21.1</v>
      </c>
      <c r="W647" s="1">
        <v>22.5</v>
      </c>
      <c r="X647" s="13">
        <v>411.76582366359</v>
      </c>
      <c r="Y647" s="9">
        <v>93.8441834728553</v>
      </c>
      <c r="Z647" s="3">
        <v>0.859256920595419</v>
      </c>
    </row>
    <row r="648" spans="2:26">
      <c r="B648" s="1">
        <v>60</v>
      </c>
      <c r="C648" s="1">
        <v>8</v>
      </c>
      <c r="D648" s="1">
        <v>0.03</v>
      </c>
      <c r="E648" s="1">
        <v>1</v>
      </c>
      <c r="F648" s="2">
        <v>2</v>
      </c>
      <c r="G648" s="1">
        <v>20.7</v>
      </c>
      <c r="H648" s="3">
        <v>0.868253123396246</v>
      </c>
      <c r="I648" s="4">
        <v>21.1</v>
      </c>
      <c r="J648" s="1">
        <v>22.5</v>
      </c>
      <c r="K648" s="4">
        <v>411.76582366359</v>
      </c>
      <c r="L648" s="13">
        <v>93.8441834728553</v>
      </c>
      <c r="M648" s="9">
        <v>0.859256920595419</v>
      </c>
      <c r="O648" s="1">
        <v>65</v>
      </c>
      <c r="P648" s="1">
        <v>8</v>
      </c>
      <c r="Q648" s="1">
        <v>0.03</v>
      </c>
      <c r="R648" s="1">
        <v>1</v>
      </c>
      <c r="S648" s="2">
        <v>2</v>
      </c>
      <c r="T648" s="1">
        <v>20.7</v>
      </c>
      <c r="U648" s="17">
        <v>0.831152647810126</v>
      </c>
      <c r="V648" s="4">
        <v>21.1</v>
      </c>
      <c r="W648" s="1">
        <v>28.2</v>
      </c>
      <c r="X648" s="13">
        <v>517.922779203403</v>
      </c>
      <c r="Y648" s="9">
        <v>121.896919914894</v>
      </c>
      <c r="Z648" s="3">
        <v>0.884352773636944</v>
      </c>
    </row>
    <row r="649" spans="2:26">
      <c r="B649" s="1">
        <v>65</v>
      </c>
      <c r="C649" s="1">
        <v>8</v>
      </c>
      <c r="D649" s="1">
        <v>0.03</v>
      </c>
      <c r="E649" s="1">
        <v>1</v>
      </c>
      <c r="F649" s="2">
        <v>2</v>
      </c>
      <c r="G649" s="1">
        <v>20.7</v>
      </c>
      <c r="H649" s="3">
        <v>0.831152647810126</v>
      </c>
      <c r="I649" s="4">
        <v>21.1</v>
      </c>
      <c r="J649" s="1">
        <v>28.2</v>
      </c>
      <c r="K649" s="4">
        <v>517.922779203403</v>
      </c>
      <c r="L649" s="13">
        <v>121.896919914894</v>
      </c>
      <c r="M649" s="9">
        <v>0.884352773636944</v>
      </c>
      <c r="O649" s="1">
        <v>70</v>
      </c>
      <c r="P649" s="1">
        <v>8</v>
      </c>
      <c r="Q649" s="1">
        <v>0.03</v>
      </c>
      <c r="R649" s="1">
        <v>1</v>
      </c>
      <c r="S649" s="2">
        <v>2</v>
      </c>
      <c r="T649" s="1">
        <v>20.7</v>
      </c>
      <c r="U649" s="17">
        <v>0.784179277129304</v>
      </c>
      <c r="V649" s="4">
        <v>21.1</v>
      </c>
      <c r="W649" s="1">
        <v>34.3</v>
      </c>
      <c r="X649" s="13">
        <v>637.808662124137</v>
      </c>
      <c r="Y649" s="9">
        <v>158.331235722151</v>
      </c>
      <c r="Z649" s="3">
        <v>0.887332630551146</v>
      </c>
    </row>
    <row r="650" spans="2:26">
      <c r="B650" s="1">
        <v>70</v>
      </c>
      <c r="C650" s="1">
        <v>8</v>
      </c>
      <c r="D650" s="1">
        <v>0.03</v>
      </c>
      <c r="E650" s="1">
        <v>1</v>
      </c>
      <c r="F650" s="2">
        <v>2</v>
      </c>
      <c r="G650" s="1">
        <v>20.7</v>
      </c>
      <c r="H650" s="3">
        <v>0.784179277129304</v>
      </c>
      <c r="I650" s="4">
        <v>21.1</v>
      </c>
      <c r="J650" s="1">
        <v>34.3</v>
      </c>
      <c r="K650" s="4">
        <v>637.808662124137</v>
      </c>
      <c r="L650" s="13">
        <v>158.331235722151</v>
      </c>
      <c r="M650" s="9">
        <v>0.887332630551146</v>
      </c>
      <c r="O650" s="1">
        <v>45</v>
      </c>
      <c r="P650" s="1">
        <v>4.8</v>
      </c>
      <c r="Q650" s="1">
        <v>0.06</v>
      </c>
      <c r="R650" s="1">
        <v>1</v>
      </c>
      <c r="S650" s="2">
        <v>2</v>
      </c>
      <c r="T650" s="1">
        <v>20.7</v>
      </c>
      <c r="U650" s="17">
        <v>0.93913980595102</v>
      </c>
      <c r="V650" s="4">
        <v>20.9</v>
      </c>
      <c r="W650" s="1">
        <v>2.9</v>
      </c>
      <c r="X650" s="13">
        <v>108.013034375791</v>
      </c>
      <c r="Y650" s="9">
        <v>23.807850072119</v>
      </c>
      <c r="Z650" s="3">
        <v>0.686135638766561</v>
      </c>
    </row>
    <row r="651" spans="2:26">
      <c r="B651" s="1">
        <v>45</v>
      </c>
      <c r="C651" s="1">
        <v>4.8</v>
      </c>
      <c r="D651" s="1">
        <v>0.06</v>
      </c>
      <c r="E651" s="1">
        <v>1</v>
      </c>
      <c r="F651" s="2">
        <v>2</v>
      </c>
      <c r="G651" s="1">
        <v>20.7</v>
      </c>
      <c r="H651" s="3">
        <v>0.93913980595102</v>
      </c>
      <c r="I651" s="4">
        <v>20.9</v>
      </c>
      <c r="J651" s="1">
        <v>2.9</v>
      </c>
      <c r="K651" s="4">
        <v>108.013034375791</v>
      </c>
      <c r="L651" s="13">
        <v>23.807850072119</v>
      </c>
      <c r="M651" s="9">
        <v>0.686135638766561</v>
      </c>
      <c r="O651" s="1">
        <v>50</v>
      </c>
      <c r="P651" s="1">
        <v>4.8</v>
      </c>
      <c r="Q651" s="1">
        <v>0.06</v>
      </c>
      <c r="R651" s="1">
        <v>1</v>
      </c>
      <c r="S651" s="2">
        <v>2</v>
      </c>
      <c r="T651" s="1">
        <v>20.7</v>
      </c>
      <c r="U651" s="17">
        <v>0.920818198615511</v>
      </c>
      <c r="V651" s="4">
        <v>20.9</v>
      </c>
      <c r="W651" s="1">
        <v>3.9</v>
      </c>
      <c r="X651" s="13">
        <v>145.253739575293</v>
      </c>
      <c r="Y651" s="9">
        <v>27.9220749805736</v>
      </c>
      <c r="Z651" s="3">
        <v>0.746539816864019</v>
      </c>
    </row>
    <row r="652" spans="2:26">
      <c r="B652" s="1">
        <v>50</v>
      </c>
      <c r="C652" s="1">
        <v>4.8</v>
      </c>
      <c r="D652" s="1">
        <v>0.06</v>
      </c>
      <c r="E652" s="1">
        <v>1</v>
      </c>
      <c r="F652" s="2">
        <v>2</v>
      </c>
      <c r="G652" s="1">
        <v>20.7</v>
      </c>
      <c r="H652" s="3">
        <v>0.920818198615511</v>
      </c>
      <c r="I652" s="4">
        <v>20.9</v>
      </c>
      <c r="J652" s="1">
        <v>3.9</v>
      </c>
      <c r="K652" s="4">
        <v>145.253739575293</v>
      </c>
      <c r="L652" s="13">
        <v>27.9220749805736</v>
      </c>
      <c r="M652" s="9">
        <v>0.746539816864019</v>
      </c>
      <c r="O652" s="1">
        <v>55</v>
      </c>
      <c r="P652" s="1">
        <v>4.8</v>
      </c>
      <c r="Q652" s="1">
        <v>0.06</v>
      </c>
      <c r="R652" s="1">
        <v>1</v>
      </c>
      <c r="S652" s="2">
        <v>2</v>
      </c>
      <c r="T652" s="1">
        <v>20.7</v>
      </c>
      <c r="U652" s="17">
        <v>0.89760467536325</v>
      </c>
      <c r="V652" s="4">
        <v>20.9</v>
      </c>
      <c r="W652" s="1">
        <v>5.3</v>
      </c>
      <c r="X652" s="13">
        <v>193.593603428579</v>
      </c>
      <c r="Y652" s="9">
        <v>33.4536048090208</v>
      </c>
      <c r="Z652" s="3">
        <v>0.825178552675255</v>
      </c>
    </row>
    <row r="653" spans="2:26">
      <c r="B653" s="1">
        <v>55</v>
      </c>
      <c r="C653" s="1">
        <v>4.8</v>
      </c>
      <c r="D653" s="1">
        <v>0.06</v>
      </c>
      <c r="E653" s="1">
        <v>1</v>
      </c>
      <c r="F653" s="2">
        <v>2</v>
      </c>
      <c r="G653" s="1">
        <v>20.7</v>
      </c>
      <c r="H653" s="3">
        <v>0.89760467536325</v>
      </c>
      <c r="I653" s="4">
        <v>20.9</v>
      </c>
      <c r="J653" s="1">
        <v>5.3</v>
      </c>
      <c r="K653" s="4">
        <v>193.593603428579</v>
      </c>
      <c r="L653" s="13">
        <v>33.4536048090208</v>
      </c>
      <c r="M653" s="9">
        <v>0.825178552675255</v>
      </c>
      <c r="O653" s="1">
        <v>60</v>
      </c>
      <c r="P653" s="1">
        <v>4.8</v>
      </c>
      <c r="Q653" s="1">
        <v>0.06</v>
      </c>
      <c r="R653" s="1">
        <v>1</v>
      </c>
      <c r="S653" s="2">
        <v>2</v>
      </c>
      <c r="T653" s="1">
        <v>20.7</v>
      </c>
      <c r="U653" s="17">
        <v>0.868253123396246</v>
      </c>
      <c r="V653" s="4">
        <v>20.9</v>
      </c>
      <c r="W653" s="1">
        <v>6.8</v>
      </c>
      <c r="X653" s="13">
        <v>248.23226012053</v>
      </c>
      <c r="Y653" s="9">
        <v>39.1229258800365</v>
      </c>
      <c r="Z653" s="3">
        <v>0.865345912424899</v>
      </c>
    </row>
    <row r="654" spans="2:26">
      <c r="B654" s="1">
        <v>60</v>
      </c>
      <c r="C654" s="1">
        <v>4.8</v>
      </c>
      <c r="D654" s="1">
        <v>0.06</v>
      </c>
      <c r="E654" s="1">
        <v>1</v>
      </c>
      <c r="F654" s="2">
        <v>2</v>
      </c>
      <c r="G654" s="1">
        <v>20.7</v>
      </c>
      <c r="H654" s="3">
        <v>0.868253123396246</v>
      </c>
      <c r="I654" s="4">
        <v>20.9</v>
      </c>
      <c r="J654" s="1">
        <v>6.8</v>
      </c>
      <c r="K654" s="4">
        <v>248.23226012053</v>
      </c>
      <c r="L654" s="13">
        <v>39.1229258800365</v>
      </c>
      <c r="M654" s="9">
        <v>0.865345912424899</v>
      </c>
      <c r="O654" s="1">
        <v>65</v>
      </c>
      <c r="P654" s="1">
        <v>4.8</v>
      </c>
      <c r="Q654" s="1">
        <v>0.06</v>
      </c>
      <c r="R654" s="1">
        <v>1</v>
      </c>
      <c r="S654" s="2">
        <v>2</v>
      </c>
      <c r="T654" s="1">
        <v>20.7</v>
      </c>
      <c r="U654" s="17">
        <v>0.831152647810126</v>
      </c>
      <c r="V654" s="4">
        <v>20.9</v>
      </c>
      <c r="W654" s="1">
        <v>8.4</v>
      </c>
      <c r="X654" s="13">
        <v>309.915736972843</v>
      </c>
      <c r="Y654" s="9">
        <v>45.0564978874872</v>
      </c>
      <c r="Z654" s="3">
        <v>0.877803135260074</v>
      </c>
    </row>
    <row r="655" spans="2:26">
      <c r="B655" s="1">
        <v>65</v>
      </c>
      <c r="C655" s="1">
        <v>4.8</v>
      </c>
      <c r="D655" s="1">
        <v>0.06</v>
      </c>
      <c r="E655" s="1">
        <v>1</v>
      </c>
      <c r="F655" s="2">
        <v>2</v>
      </c>
      <c r="G655" s="1">
        <v>20.7</v>
      </c>
      <c r="H655" s="3">
        <v>0.831152647810126</v>
      </c>
      <c r="I655" s="4">
        <v>20.9</v>
      </c>
      <c r="J655" s="1">
        <v>8.4</v>
      </c>
      <c r="K655" s="4">
        <v>309.915736972843</v>
      </c>
      <c r="L655" s="13">
        <v>45.0564978874872</v>
      </c>
      <c r="M655" s="9">
        <v>0.877803135260074</v>
      </c>
      <c r="O655" s="1">
        <v>70</v>
      </c>
      <c r="P655" s="1">
        <v>4.8</v>
      </c>
      <c r="Q655" s="1">
        <v>0.06</v>
      </c>
      <c r="R655" s="1">
        <v>1</v>
      </c>
      <c r="S655" s="2">
        <v>2</v>
      </c>
      <c r="T655" s="1">
        <v>20.7</v>
      </c>
      <c r="U655" s="17">
        <v>0.784179277129304</v>
      </c>
      <c r="V655" s="4">
        <v>21</v>
      </c>
      <c r="W655" s="1">
        <v>9.8</v>
      </c>
      <c r="X655" s="13">
        <v>373.877816735781</v>
      </c>
      <c r="Y655" s="9">
        <v>46.5465814379474</v>
      </c>
      <c r="Z655" s="3">
        <v>0.844946144397472</v>
      </c>
    </row>
    <row r="656" spans="2:26">
      <c r="B656" s="1">
        <v>70</v>
      </c>
      <c r="C656" s="1">
        <v>4.8</v>
      </c>
      <c r="D656" s="1">
        <v>0.06</v>
      </c>
      <c r="E656" s="1">
        <v>1</v>
      </c>
      <c r="F656" s="2">
        <v>2</v>
      </c>
      <c r="G656" s="1">
        <v>20.7</v>
      </c>
      <c r="H656" s="3">
        <v>0.784179277129304</v>
      </c>
      <c r="I656" s="4">
        <v>21</v>
      </c>
      <c r="J656" s="1">
        <v>9.8</v>
      </c>
      <c r="K656" s="4">
        <v>373.877816735781</v>
      </c>
      <c r="L656" s="13">
        <v>46.5465814379474</v>
      </c>
      <c r="M656" s="9">
        <v>0.844946144397472</v>
      </c>
      <c r="O656" s="1">
        <v>45</v>
      </c>
      <c r="P656" s="1">
        <v>5.5</v>
      </c>
      <c r="Q656" s="1">
        <v>0.06</v>
      </c>
      <c r="R656" s="1">
        <v>1</v>
      </c>
      <c r="S656" s="2">
        <v>2</v>
      </c>
      <c r="T656" s="1">
        <v>20.7</v>
      </c>
      <c r="U656" s="17">
        <v>0.93913980595102</v>
      </c>
      <c r="V656" s="4">
        <v>21.1</v>
      </c>
      <c r="W656" s="1">
        <v>3.2</v>
      </c>
      <c r="X656" s="13">
        <v>121.210438939514</v>
      </c>
      <c r="Y656" s="9">
        <v>23.2206630671463</v>
      </c>
      <c r="Z656" s="3">
        <v>0.660970883102306</v>
      </c>
    </row>
    <row r="657" spans="2:26">
      <c r="B657" s="1">
        <v>45</v>
      </c>
      <c r="C657" s="1">
        <v>5.5</v>
      </c>
      <c r="D657" s="1">
        <v>0.06</v>
      </c>
      <c r="E657" s="1">
        <v>1</v>
      </c>
      <c r="F657" s="2">
        <v>2</v>
      </c>
      <c r="G657" s="1">
        <v>20.7</v>
      </c>
      <c r="H657" s="3">
        <v>0.93913980595102</v>
      </c>
      <c r="I657" s="4">
        <v>21.1</v>
      </c>
      <c r="J657" s="1">
        <v>3.2</v>
      </c>
      <c r="K657" s="4">
        <v>121.210438939514</v>
      </c>
      <c r="L657" s="13">
        <v>23.2206630671463</v>
      </c>
      <c r="M657" s="9">
        <v>0.660970883102306</v>
      </c>
      <c r="O657" s="1">
        <v>50</v>
      </c>
      <c r="P657" s="1">
        <v>5.5</v>
      </c>
      <c r="Q657" s="1">
        <v>0.06</v>
      </c>
      <c r="R657" s="1">
        <v>1</v>
      </c>
      <c r="S657" s="2">
        <v>2</v>
      </c>
      <c r="T657" s="1">
        <v>20.7</v>
      </c>
      <c r="U657" s="17">
        <v>0.920818198615511</v>
      </c>
      <c r="V657" s="4">
        <v>21.1</v>
      </c>
      <c r="W657" s="1">
        <v>4.5</v>
      </c>
      <c r="X657" s="13">
        <v>166.696598877075</v>
      </c>
      <c r="Y657" s="9">
        <v>28.1958715203133</v>
      </c>
      <c r="Z657" s="3">
        <v>0.752003920080684</v>
      </c>
    </row>
    <row r="658" spans="2:26">
      <c r="B658" s="1">
        <v>50</v>
      </c>
      <c r="C658" s="1">
        <v>5.5</v>
      </c>
      <c r="D658" s="1">
        <v>0.06</v>
      </c>
      <c r="E658" s="1">
        <v>1</v>
      </c>
      <c r="F658" s="2">
        <v>2</v>
      </c>
      <c r="G658" s="1">
        <v>20.7</v>
      </c>
      <c r="H658" s="3">
        <v>0.920818198615511</v>
      </c>
      <c r="I658" s="4">
        <v>21.1</v>
      </c>
      <c r="J658" s="1">
        <v>4.5</v>
      </c>
      <c r="K658" s="4">
        <v>166.696598877075</v>
      </c>
      <c r="L658" s="13">
        <v>28.1958715203133</v>
      </c>
      <c r="M658" s="9">
        <v>0.752003920080684</v>
      </c>
      <c r="O658" s="1">
        <v>55</v>
      </c>
      <c r="P658" s="1">
        <v>5.5</v>
      </c>
      <c r="Q658" s="1">
        <v>0.06</v>
      </c>
      <c r="R658" s="1">
        <v>1</v>
      </c>
      <c r="S658" s="2">
        <v>2</v>
      </c>
      <c r="T658" s="1">
        <v>20.7</v>
      </c>
      <c r="U658" s="17">
        <v>0.89760467536325</v>
      </c>
      <c r="V658" s="4">
        <v>21.1</v>
      </c>
      <c r="W658" s="1">
        <v>5.8</v>
      </c>
      <c r="X658" s="13">
        <v>216.546086278134</v>
      </c>
      <c r="Y658" s="9">
        <v>32.8764338571785</v>
      </c>
      <c r="Z658" s="3">
        <v>0.788348321863001</v>
      </c>
    </row>
    <row r="659" spans="2:26">
      <c r="B659" s="1">
        <v>55</v>
      </c>
      <c r="C659" s="1">
        <v>5.5</v>
      </c>
      <c r="D659" s="1">
        <v>0.06</v>
      </c>
      <c r="E659" s="1">
        <v>1</v>
      </c>
      <c r="F659" s="2">
        <v>2</v>
      </c>
      <c r="G659" s="1">
        <v>20.7</v>
      </c>
      <c r="H659" s="3">
        <v>0.89760467536325</v>
      </c>
      <c r="I659" s="4">
        <v>21.1</v>
      </c>
      <c r="J659" s="1">
        <v>5.8</v>
      </c>
      <c r="K659" s="4">
        <v>216.546086278134</v>
      </c>
      <c r="L659" s="13">
        <v>32.8764338571785</v>
      </c>
      <c r="M659" s="9">
        <v>0.788348321863001</v>
      </c>
      <c r="O659" s="1">
        <v>60</v>
      </c>
      <c r="P659" s="1">
        <v>5.5</v>
      </c>
      <c r="Q659" s="1">
        <v>0.06</v>
      </c>
      <c r="R659" s="1">
        <v>1</v>
      </c>
      <c r="S659" s="2">
        <v>2</v>
      </c>
      <c r="T659" s="1">
        <v>20.7</v>
      </c>
      <c r="U659" s="17">
        <v>0.868253123396246</v>
      </c>
      <c r="V659" s="4">
        <v>21.1</v>
      </c>
      <c r="W659" s="1">
        <v>7.6</v>
      </c>
      <c r="X659" s="13">
        <v>280.639459497885</v>
      </c>
      <c r="Y659" s="9">
        <v>39.2053092943348</v>
      </c>
      <c r="Z659" s="3">
        <v>0.844328416520428</v>
      </c>
    </row>
    <row r="660" spans="2:26">
      <c r="B660" s="1">
        <v>60</v>
      </c>
      <c r="C660" s="1">
        <v>5.5</v>
      </c>
      <c r="D660" s="1">
        <v>0.06</v>
      </c>
      <c r="E660" s="1">
        <v>1</v>
      </c>
      <c r="F660" s="2">
        <v>2</v>
      </c>
      <c r="G660" s="1">
        <v>20.7</v>
      </c>
      <c r="H660" s="3">
        <v>0.868253123396246</v>
      </c>
      <c r="I660" s="4">
        <v>21.1</v>
      </c>
      <c r="J660" s="1">
        <v>7.6</v>
      </c>
      <c r="K660" s="4">
        <v>280.639459497885</v>
      </c>
      <c r="L660" s="13">
        <v>39.2053092943348</v>
      </c>
      <c r="M660" s="9">
        <v>0.844328416520428</v>
      </c>
      <c r="O660" s="1">
        <v>65</v>
      </c>
      <c r="P660" s="1">
        <v>5.5</v>
      </c>
      <c r="Q660" s="1">
        <v>0.06</v>
      </c>
      <c r="R660" s="1">
        <v>1</v>
      </c>
      <c r="S660" s="2">
        <v>2</v>
      </c>
      <c r="T660" s="1">
        <v>20.7</v>
      </c>
      <c r="U660" s="17">
        <v>0.831152647810126</v>
      </c>
      <c r="V660" s="4">
        <v>21.1</v>
      </c>
      <c r="W660" s="1">
        <v>9.2</v>
      </c>
      <c r="X660" s="13">
        <v>347.071259660673</v>
      </c>
      <c r="Y660" s="9">
        <v>44.7541074065086</v>
      </c>
      <c r="Z660" s="3">
        <v>0.839308370595474</v>
      </c>
    </row>
    <row r="661" spans="2:26">
      <c r="B661" s="1">
        <v>65</v>
      </c>
      <c r="C661" s="1">
        <v>5.5</v>
      </c>
      <c r="D661" s="1">
        <v>0.06</v>
      </c>
      <c r="E661" s="1">
        <v>1</v>
      </c>
      <c r="F661" s="2">
        <v>2</v>
      </c>
      <c r="G661" s="1">
        <v>20.7</v>
      </c>
      <c r="H661" s="3">
        <v>0.831152647810126</v>
      </c>
      <c r="I661" s="4">
        <v>21.1</v>
      </c>
      <c r="J661" s="1">
        <v>9.2</v>
      </c>
      <c r="K661" s="4">
        <v>347.071259660673</v>
      </c>
      <c r="L661" s="13">
        <v>44.7541074065086</v>
      </c>
      <c r="M661" s="9">
        <v>0.839308370595474</v>
      </c>
      <c r="O661" s="1">
        <v>70</v>
      </c>
      <c r="P661" s="1">
        <v>5.5</v>
      </c>
      <c r="Q661" s="1">
        <v>0.06</v>
      </c>
      <c r="R661" s="1">
        <v>1</v>
      </c>
      <c r="S661" s="2">
        <v>2</v>
      </c>
      <c r="T661" s="1">
        <v>20.7</v>
      </c>
      <c r="U661" s="17">
        <v>0.784179277129304</v>
      </c>
      <c r="V661" s="4">
        <v>21.1</v>
      </c>
      <c r="W661" s="1">
        <v>12</v>
      </c>
      <c r="X661" s="13">
        <v>442.310186981177</v>
      </c>
      <c r="Y661" s="9">
        <v>54.3632070444029</v>
      </c>
      <c r="Z661" s="3">
        <v>0.903089663746727</v>
      </c>
    </row>
    <row r="662" spans="2:26">
      <c r="B662" s="1">
        <v>70</v>
      </c>
      <c r="C662" s="1">
        <v>5.5</v>
      </c>
      <c r="D662" s="1">
        <v>0.06</v>
      </c>
      <c r="E662" s="1">
        <v>1</v>
      </c>
      <c r="F662" s="2">
        <v>2</v>
      </c>
      <c r="G662" s="1">
        <v>20.7</v>
      </c>
      <c r="H662" s="3">
        <v>0.784179277129304</v>
      </c>
      <c r="I662" s="4">
        <v>21.1</v>
      </c>
      <c r="J662" s="1">
        <v>12</v>
      </c>
      <c r="K662" s="4">
        <v>442.310186981177</v>
      </c>
      <c r="L662" s="13">
        <v>54.3632070444029</v>
      </c>
      <c r="M662" s="9">
        <v>0.903089663746727</v>
      </c>
      <c r="O662" s="1">
        <v>45</v>
      </c>
      <c r="P662" s="1">
        <v>6.6</v>
      </c>
      <c r="Q662" s="1">
        <v>0.06</v>
      </c>
      <c r="R662" s="1">
        <v>1</v>
      </c>
      <c r="S662" s="2">
        <v>2</v>
      </c>
      <c r="T662" s="1">
        <v>20.7</v>
      </c>
      <c r="U662" s="17">
        <v>0.93913980595102</v>
      </c>
      <c r="V662" s="4">
        <v>21.1</v>
      </c>
      <c r="W662" s="1">
        <v>3.8</v>
      </c>
      <c r="X662" s="13">
        <v>144.723360060751</v>
      </c>
      <c r="Y662" s="9">
        <v>28.3450105394663</v>
      </c>
      <c r="Z662" s="3">
        <v>0.654085769736657</v>
      </c>
    </row>
    <row r="663" spans="2:26">
      <c r="B663" s="1">
        <v>45</v>
      </c>
      <c r="C663" s="1">
        <v>6.6</v>
      </c>
      <c r="D663" s="1">
        <v>0.06</v>
      </c>
      <c r="E663" s="1">
        <v>1</v>
      </c>
      <c r="F663" s="2">
        <v>2</v>
      </c>
      <c r="G663" s="1">
        <v>20.7</v>
      </c>
      <c r="H663" s="3">
        <v>0.93913980595102</v>
      </c>
      <c r="I663" s="4">
        <v>21.1</v>
      </c>
      <c r="J663" s="1">
        <v>3.8</v>
      </c>
      <c r="K663" s="4">
        <v>144.723360060751</v>
      </c>
      <c r="L663" s="13">
        <v>28.3450105394663</v>
      </c>
      <c r="M663" s="9">
        <v>0.654085769736657</v>
      </c>
      <c r="O663" s="1">
        <v>50</v>
      </c>
      <c r="P663" s="1">
        <v>6.6</v>
      </c>
      <c r="Q663" s="1">
        <v>0.06</v>
      </c>
      <c r="R663" s="1">
        <v>1</v>
      </c>
      <c r="S663" s="2">
        <v>2</v>
      </c>
      <c r="T663" s="1">
        <v>20.7</v>
      </c>
      <c r="U663" s="17">
        <v>0.920818198615511</v>
      </c>
      <c r="V663" s="4">
        <v>21.1</v>
      </c>
      <c r="W663" s="1">
        <v>5.1</v>
      </c>
      <c r="X663" s="13">
        <v>194.56716865249</v>
      </c>
      <c r="Y663" s="9">
        <v>33.5394833414341</v>
      </c>
      <c r="Z663" s="3">
        <v>0.710225924520646</v>
      </c>
    </row>
    <row r="664" spans="2:26">
      <c r="B664" s="1">
        <v>50</v>
      </c>
      <c r="C664" s="1">
        <v>6.6</v>
      </c>
      <c r="D664" s="1">
        <v>0.06</v>
      </c>
      <c r="E664" s="1">
        <v>1</v>
      </c>
      <c r="F664" s="2">
        <v>2</v>
      </c>
      <c r="G664" s="1">
        <v>20.7</v>
      </c>
      <c r="H664" s="3">
        <v>0.920818198615511</v>
      </c>
      <c r="I664" s="4">
        <v>21.1</v>
      </c>
      <c r="J664" s="1">
        <v>5.1</v>
      </c>
      <c r="K664" s="4">
        <v>194.56716865249</v>
      </c>
      <c r="L664" s="13">
        <v>33.5394833414341</v>
      </c>
      <c r="M664" s="9">
        <v>0.710225924520646</v>
      </c>
      <c r="O664" s="1">
        <v>55</v>
      </c>
      <c r="P664" s="1">
        <v>6.6</v>
      </c>
      <c r="Q664" s="1">
        <v>0.06</v>
      </c>
      <c r="R664" s="1">
        <v>1</v>
      </c>
      <c r="S664" s="2">
        <v>2</v>
      </c>
      <c r="T664" s="1">
        <v>20.8</v>
      </c>
      <c r="U664" s="17">
        <v>0.89760467536325</v>
      </c>
      <c r="V664" s="4">
        <v>21.1</v>
      </c>
      <c r="W664" s="1">
        <v>7</v>
      </c>
      <c r="X664" s="13">
        <v>260.584470200428</v>
      </c>
      <c r="Y664" s="9">
        <v>43.661846107656</v>
      </c>
      <c r="Z664" s="3">
        <v>0.792879059344972</v>
      </c>
    </row>
    <row r="665" spans="2:26">
      <c r="B665" s="1">
        <v>55</v>
      </c>
      <c r="C665" s="1">
        <v>6.6</v>
      </c>
      <c r="D665" s="1">
        <v>0.06</v>
      </c>
      <c r="E665" s="1">
        <v>1</v>
      </c>
      <c r="F665" s="2">
        <v>2</v>
      </c>
      <c r="G665" s="1">
        <v>20.8</v>
      </c>
      <c r="H665" s="3">
        <v>0.89760467536325</v>
      </c>
      <c r="I665" s="4">
        <v>21.1</v>
      </c>
      <c r="J665" s="1">
        <v>7</v>
      </c>
      <c r="K665" s="4">
        <v>260.584470200428</v>
      </c>
      <c r="L665" s="13">
        <v>43.661846107656</v>
      </c>
      <c r="M665" s="9">
        <v>0.792879059344972</v>
      </c>
      <c r="O665" s="1">
        <v>60</v>
      </c>
      <c r="P665" s="1">
        <v>6.6</v>
      </c>
      <c r="Q665" s="1">
        <v>0.06</v>
      </c>
      <c r="R665" s="1">
        <v>1</v>
      </c>
      <c r="S665" s="2">
        <v>2</v>
      </c>
      <c r="T665" s="1">
        <v>20.8</v>
      </c>
      <c r="U665" s="17">
        <v>0.868253123396246</v>
      </c>
      <c r="V665" s="4">
        <v>21.1</v>
      </c>
      <c r="W665" s="1">
        <v>8.7</v>
      </c>
      <c r="X665" s="13">
        <v>329.111101397462</v>
      </c>
      <c r="Y665" s="9">
        <v>50.3659804239665</v>
      </c>
      <c r="Z665" s="3">
        <v>0.805444871022776</v>
      </c>
    </row>
    <row r="666" spans="2:26">
      <c r="B666" s="1">
        <v>60</v>
      </c>
      <c r="C666" s="1">
        <v>6.6</v>
      </c>
      <c r="D666" s="1">
        <v>0.06</v>
      </c>
      <c r="E666" s="1">
        <v>1</v>
      </c>
      <c r="F666" s="2">
        <v>2</v>
      </c>
      <c r="G666" s="1">
        <v>20.8</v>
      </c>
      <c r="H666" s="3">
        <v>0.868253123396246</v>
      </c>
      <c r="I666" s="4">
        <v>21.1</v>
      </c>
      <c r="J666" s="1">
        <v>8.7</v>
      </c>
      <c r="K666" s="4">
        <v>329.111101397462</v>
      </c>
      <c r="L666" s="13">
        <v>50.3659804239665</v>
      </c>
      <c r="M666" s="9">
        <v>0.805444871022776</v>
      </c>
      <c r="O666" s="1">
        <v>65</v>
      </c>
      <c r="P666" s="1">
        <v>6.6</v>
      </c>
      <c r="Q666" s="1">
        <v>0.06</v>
      </c>
      <c r="R666" s="1">
        <v>1</v>
      </c>
      <c r="S666" s="2">
        <v>2</v>
      </c>
      <c r="T666" s="1">
        <v>20.8</v>
      </c>
      <c r="U666" s="17">
        <v>0.831152647810126</v>
      </c>
      <c r="V666" s="4">
        <v>21.1</v>
      </c>
      <c r="W666" s="1">
        <v>11.5</v>
      </c>
      <c r="X666" s="13">
        <v>424.870928259474</v>
      </c>
      <c r="Y666" s="9">
        <v>61.5190533799634</v>
      </c>
      <c r="Z666" s="3">
        <v>0.874279552703619</v>
      </c>
    </row>
    <row r="667" spans="2:26">
      <c r="B667" s="1">
        <v>65</v>
      </c>
      <c r="C667" s="1">
        <v>6.6</v>
      </c>
      <c r="D667" s="1">
        <v>0.06</v>
      </c>
      <c r="E667" s="1">
        <v>1</v>
      </c>
      <c r="F667" s="2">
        <v>2</v>
      </c>
      <c r="G667" s="1">
        <v>20.8</v>
      </c>
      <c r="H667" s="3">
        <v>0.831152647810126</v>
      </c>
      <c r="I667" s="4">
        <v>21.1</v>
      </c>
      <c r="J667" s="1">
        <v>11.5</v>
      </c>
      <c r="K667" s="4">
        <v>424.870928259474</v>
      </c>
      <c r="L667" s="13">
        <v>61.5190533799634</v>
      </c>
      <c r="M667" s="9">
        <v>0.874279552703619</v>
      </c>
      <c r="O667" s="1">
        <v>70</v>
      </c>
      <c r="P667" s="1">
        <v>6.6</v>
      </c>
      <c r="Q667" s="1">
        <v>0.06</v>
      </c>
      <c r="R667" s="1">
        <v>1</v>
      </c>
      <c r="S667" s="2">
        <v>2</v>
      </c>
      <c r="T667" s="1">
        <v>20.8</v>
      </c>
      <c r="U667" s="17">
        <v>0.784179277129304</v>
      </c>
      <c r="V667" s="4">
        <v>21.2</v>
      </c>
      <c r="W667" s="1">
        <v>14.4</v>
      </c>
      <c r="X667" s="13">
        <v>530.599990654333</v>
      </c>
      <c r="Y667" s="9">
        <v>68.8840350587568</v>
      </c>
      <c r="Z667" s="3">
        <v>0.90323131418558</v>
      </c>
    </row>
    <row r="668" spans="2:26">
      <c r="B668" s="1">
        <v>70</v>
      </c>
      <c r="C668" s="1">
        <v>6.6</v>
      </c>
      <c r="D668" s="1">
        <v>0.06</v>
      </c>
      <c r="E668" s="1">
        <v>1</v>
      </c>
      <c r="F668" s="2">
        <v>2</v>
      </c>
      <c r="G668" s="1">
        <v>20.8</v>
      </c>
      <c r="H668" s="3">
        <v>0.784179277129304</v>
      </c>
      <c r="I668" s="4">
        <v>21.2</v>
      </c>
      <c r="J668" s="1">
        <v>14.4</v>
      </c>
      <c r="K668" s="4">
        <v>530.599990654333</v>
      </c>
      <c r="L668" s="13">
        <v>68.8840350587568</v>
      </c>
      <c r="M668" s="9">
        <v>0.90323131418558</v>
      </c>
      <c r="O668" s="1">
        <v>45</v>
      </c>
      <c r="P668" s="1">
        <v>8</v>
      </c>
      <c r="Q668" s="1">
        <v>0.06</v>
      </c>
      <c r="R668" s="1">
        <v>1</v>
      </c>
      <c r="S668" s="2">
        <v>2</v>
      </c>
      <c r="T668" s="1">
        <v>20.8</v>
      </c>
      <c r="U668" s="17">
        <v>0.93913980595102</v>
      </c>
      <c r="V668" s="4">
        <v>21</v>
      </c>
      <c r="W668" s="1">
        <v>4.6</v>
      </c>
      <c r="X668" s="13">
        <v>175.54041453142</v>
      </c>
      <c r="Y668" s="9">
        <v>41.4869634958202</v>
      </c>
      <c r="Z668" s="3">
        <v>0.653118489937407</v>
      </c>
    </row>
    <row r="669" spans="2:26">
      <c r="B669" s="1">
        <v>45</v>
      </c>
      <c r="C669" s="1">
        <v>8</v>
      </c>
      <c r="D669" s="1">
        <v>0.06</v>
      </c>
      <c r="E669" s="1">
        <v>1</v>
      </c>
      <c r="F669" s="2">
        <v>2</v>
      </c>
      <c r="G669" s="1">
        <v>20.8</v>
      </c>
      <c r="H669" s="3">
        <v>0.93913980595102</v>
      </c>
      <c r="I669" s="4">
        <v>21</v>
      </c>
      <c r="J669" s="1">
        <v>4.6</v>
      </c>
      <c r="K669" s="4">
        <v>175.54041453142</v>
      </c>
      <c r="L669" s="13">
        <v>41.4869634958202</v>
      </c>
      <c r="M669" s="9">
        <v>0.653118489937407</v>
      </c>
      <c r="O669" s="1">
        <v>50</v>
      </c>
      <c r="P669" s="1">
        <v>8</v>
      </c>
      <c r="Q669" s="1">
        <v>0.06</v>
      </c>
      <c r="R669" s="1">
        <v>1</v>
      </c>
      <c r="S669" s="2">
        <v>2</v>
      </c>
      <c r="T669" s="1">
        <v>20.8</v>
      </c>
      <c r="U669" s="17">
        <v>0.920818198615511</v>
      </c>
      <c r="V669" s="4">
        <v>21.2</v>
      </c>
      <c r="W669" s="1">
        <v>6.4</v>
      </c>
      <c r="X669" s="13">
        <v>239.589912377326</v>
      </c>
      <c r="Y669" s="9">
        <v>43.2443883481034</v>
      </c>
      <c r="Z669" s="3">
        <v>0.73541178832887</v>
      </c>
    </row>
    <row r="670" spans="2:26">
      <c r="B670" s="1">
        <v>50</v>
      </c>
      <c r="C670" s="1">
        <v>8</v>
      </c>
      <c r="D670" s="1">
        <v>0.06</v>
      </c>
      <c r="E670" s="1">
        <v>1</v>
      </c>
      <c r="F670" s="2">
        <v>2</v>
      </c>
      <c r="G670" s="1">
        <v>20.8</v>
      </c>
      <c r="H670" s="3">
        <v>0.920818198615511</v>
      </c>
      <c r="I670" s="4">
        <v>21.2</v>
      </c>
      <c r="J670" s="1">
        <v>6.4</v>
      </c>
      <c r="K670" s="4">
        <v>239.589912377326</v>
      </c>
      <c r="L670" s="13">
        <v>43.2443883481034</v>
      </c>
      <c r="M670" s="9">
        <v>0.73541178832887</v>
      </c>
      <c r="O670" s="1">
        <v>55</v>
      </c>
      <c r="P670" s="1">
        <v>8</v>
      </c>
      <c r="Q670" s="1">
        <v>0.06</v>
      </c>
      <c r="R670" s="1">
        <v>1</v>
      </c>
      <c r="S670" s="2">
        <v>2</v>
      </c>
      <c r="T670" s="1">
        <v>20.8</v>
      </c>
      <c r="U670" s="17">
        <v>0.89760467536325</v>
      </c>
      <c r="V670" s="4">
        <v>21.2</v>
      </c>
      <c r="W670" s="1">
        <v>8.2</v>
      </c>
      <c r="X670" s="13">
        <v>310.444581836723</v>
      </c>
      <c r="Y670" s="9">
        <v>50.6217152510661</v>
      </c>
      <c r="Z670" s="3">
        <v>0.766384061263034</v>
      </c>
    </row>
    <row r="671" spans="2:26">
      <c r="B671" s="1">
        <v>55</v>
      </c>
      <c r="C671" s="1">
        <v>8</v>
      </c>
      <c r="D671" s="1">
        <v>0.06</v>
      </c>
      <c r="E671" s="1">
        <v>1</v>
      </c>
      <c r="F671" s="2">
        <v>2</v>
      </c>
      <c r="G671" s="1">
        <v>20.8</v>
      </c>
      <c r="H671" s="3">
        <v>0.89760467536325</v>
      </c>
      <c r="I671" s="4">
        <v>21.2</v>
      </c>
      <c r="J671" s="1">
        <v>8.2</v>
      </c>
      <c r="K671" s="4">
        <v>310.444581836723</v>
      </c>
      <c r="L671" s="13">
        <v>50.6217152510661</v>
      </c>
      <c r="M671" s="9">
        <v>0.766384061263034</v>
      </c>
      <c r="O671" s="1">
        <v>60</v>
      </c>
      <c r="P671" s="1">
        <v>8</v>
      </c>
      <c r="Q671" s="1">
        <v>0.06</v>
      </c>
      <c r="R671" s="1">
        <v>1</v>
      </c>
      <c r="S671" s="2">
        <v>2</v>
      </c>
      <c r="T671" s="1">
        <v>20.8</v>
      </c>
      <c r="U671" s="17">
        <v>0.868253123396246</v>
      </c>
      <c r="V671" s="4">
        <v>21.2</v>
      </c>
      <c r="W671" s="1">
        <v>11</v>
      </c>
      <c r="X671" s="13">
        <v>406.989736271082</v>
      </c>
      <c r="Y671" s="9">
        <v>62.3018235410354</v>
      </c>
      <c r="Z671" s="3">
        <v>0.840296202510218</v>
      </c>
    </row>
    <row r="672" spans="2:26">
      <c r="B672" s="1">
        <v>60</v>
      </c>
      <c r="C672" s="1">
        <v>8</v>
      </c>
      <c r="D672" s="1">
        <v>0.06</v>
      </c>
      <c r="E672" s="1">
        <v>1</v>
      </c>
      <c r="F672" s="2">
        <v>2</v>
      </c>
      <c r="G672" s="1">
        <v>20.8</v>
      </c>
      <c r="H672" s="3">
        <v>0.868253123396246</v>
      </c>
      <c r="I672" s="4">
        <v>21.2</v>
      </c>
      <c r="J672" s="1">
        <v>11</v>
      </c>
      <c r="K672" s="4">
        <v>406.989736271082</v>
      </c>
      <c r="L672" s="13">
        <v>62.3018235410354</v>
      </c>
      <c r="M672" s="9">
        <v>0.840296202510218</v>
      </c>
      <c r="O672" s="1">
        <v>65</v>
      </c>
      <c r="P672" s="1">
        <v>8</v>
      </c>
      <c r="Q672" s="1">
        <v>0.06</v>
      </c>
      <c r="R672" s="1">
        <v>1</v>
      </c>
      <c r="S672" s="2">
        <v>2</v>
      </c>
      <c r="T672" s="1">
        <v>20.8</v>
      </c>
      <c r="U672" s="17">
        <v>0.831152647810126</v>
      </c>
      <c r="V672" s="4">
        <v>21.2</v>
      </c>
      <c r="W672" s="1">
        <v>14.2</v>
      </c>
      <c r="X672" s="13">
        <v>519.531550319989</v>
      </c>
      <c r="Y672" s="9">
        <v>75.7794355781637</v>
      </c>
      <c r="Z672" s="3">
        <v>0.890765578660844</v>
      </c>
    </row>
    <row r="673" spans="2:26">
      <c r="B673" s="1">
        <v>65</v>
      </c>
      <c r="C673" s="1">
        <v>8</v>
      </c>
      <c r="D673" s="1">
        <v>0.06</v>
      </c>
      <c r="E673" s="1">
        <v>1</v>
      </c>
      <c r="F673" s="2">
        <v>2</v>
      </c>
      <c r="G673" s="1">
        <v>20.8</v>
      </c>
      <c r="H673" s="3">
        <v>0.831152647810126</v>
      </c>
      <c r="I673" s="4">
        <v>21.2</v>
      </c>
      <c r="J673" s="1">
        <v>14.2</v>
      </c>
      <c r="K673" s="4">
        <v>519.531550319989</v>
      </c>
      <c r="L673" s="13">
        <v>75.7794355781637</v>
      </c>
      <c r="M673" s="9">
        <v>0.890765578660844</v>
      </c>
      <c r="O673" s="1">
        <v>70</v>
      </c>
      <c r="P673" s="1">
        <v>8</v>
      </c>
      <c r="Q673" s="1">
        <v>0.06</v>
      </c>
      <c r="R673" s="1">
        <v>1</v>
      </c>
      <c r="S673" s="2">
        <v>2</v>
      </c>
      <c r="T673" s="1">
        <v>20.8</v>
      </c>
      <c r="U673" s="17">
        <v>0.784179277129304</v>
      </c>
      <c r="V673" s="4">
        <v>21.2</v>
      </c>
      <c r="W673" s="1">
        <v>17.1</v>
      </c>
      <c r="X673" s="13">
        <v>636.688435641615</v>
      </c>
      <c r="Y673" s="9">
        <v>88.0748338158714</v>
      </c>
      <c r="Z673" s="3">
        <v>0.884884428116185</v>
      </c>
    </row>
    <row r="674" spans="2:26">
      <c r="B674" s="1">
        <v>70</v>
      </c>
      <c r="C674" s="1">
        <v>8</v>
      </c>
      <c r="D674" s="1">
        <v>0.06</v>
      </c>
      <c r="E674" s="1">
        <v>1</v>
      </c>
      <c r="F674" s="2">
        <v>2</v>
      </c>
      <c r="G674" s="1">
        <v>20.8</v>
      </c>
      <c r="H674" s="3">
        <v>0.784179277129304</v>
      </c>
      <c r="I674" s="4">
        <v>21.2</v>
      </c>
      <c r="J674" s="1">
        <v>17.1</v>
      </c>
      <c r="K674" s="4">
        <v>636.688435641615</v>
      </c>
      <c r="L674" s="13">
        <v>88.0748338158714</v>
      </c>
      <c r="M674" s="9">
        <v>0.884884428116185</v>
      </c>
      <c r="O674" s="1">
        <v>45</v>
      </c>
      <c r="P674" s="1">
        <v>4.8</v>
      </c>
      <c r="Q674" s="1">
        <v>0.12</v>
      </c>
      <c r="R674" s="1">
        <v>1</v>
      </c>
      <c r="S674" s="2">
        <v>2</v>
      </c>
      <c r="T674" s="1">
        <v>21.5</v>
      </c>
      <c r="U674" s="17">
        <v>0.93913980595102</v>
      </c>
      <c r="V674" s="4">
        <v>21.8</v>
      </c>
      <c r="W674" s="1">
        <v>1.4</v>
      </c>
      <c r="X674" s="13">
        <v>104.942247226133</v>
      </c>
      <c r="Y674" s="9">
        <v>20.6974533204811</v>
      </c>
      <c r="Z674" s="3">
        <v>0.663449464458009</v>
      </c>
    </row>
    <row r="675" spans="2:26">
      <c r="B675" s="1">
        <v>45</v>
      </c>
      <c r="C675" s="1">
        <v>4.8</v>
      </c>
      <c r="D675" s="1">
        <v>0.12</v>
      </c>
      <c r="E675" s="1">
        <v>1</v>
      </c>
      <c r="F675" s="2">
        <v>2</v>
      </c>
      <c r="G675" s="1">
        <v>21.5</v>
      </c>
      <c r="H675" s="3">
        <v>0.93913980595102</v>
      </c>
      <c r="I675" s="4">
        <v>21.8</v>
      </c>
      <c r="J675" s="1">
        <v>1.4</v>
      </c>
      <c r="K675" s="4">
        <v>104.942247226133</v>
      </c>
      <c r="L675" s="13">
        <v>20.6974533204811</v>
      </c>
      <c r="M675" s="9">
        <v>0.663449464458009</v>
      </c>
      <c r="O675" s="1">
        <v>50</v>
      </c>
      <c r="P675" s="1">
        <v>4.8</v>
      </c>
      <c r="Q675" s="1">
        <v>0.12</v>
      </c>
      <c r="R675" s="1">
        <v>1</v>
      </c>
      <c r="S675" s="2">
        <v>2</v>
      </c>
      <c r="T675" s="1">
        <v>21.5</v>
      </c>
      <c r="U675" s="17">
        <v>0.920818198615511</v>
      </c>
      <c r="V675" s="4">
        <v>21.8</v>
      </c>
      <c r="W675" s="1">
        <v>1.9</v>
      </c>
      <c r="X675" s="13">
        <v>142.200006746135</v>
      </c>
      <c r="Y675" s="9">
        <v>24.2490698827295</v>
      </c>
      <c r="Z675" s="3">
        <v>0.728458206045811</v>
      </c>
    </row>
    <row r="676" spans="2:26">
      <c r="B676" s="1">
        <v>50</v>
      </c>
      <c r="C676" s="1">
        <v>4.8</v>
      </c>
      <c r="D676" s="1">
        <v>0.12</v>
      </c>
      <c r="E676" s="1">
        <v>1</v>
      </c>
      <c r="F676" s="2">
        <v>2</v>
      </c>
      <c r="G676" s="1">
        <v>21.5</v>
      </c>
      <c r="H676" s="3">
        <v>0.920818198615511</v>
      </c>
      <c r="I676" s="4">
        <v>21.8</v>
      </c>
      <c r="J676" s="1">
        <v>1.9</v>
      </c>
      <c r="K676" s="4">
        <v>142.200006746135</v>
      </c>
      <c r="L676" s="13">
        <v>24.2490698827295</v>
      </c>
      <c r="M676" s="9">
        <v>0.728458206045811</v>
      </c>
      <c r="O676" s="1">
        <v>55</v>
      </c>
      <c r="P676" s="1">
        <v>4.8</v>
      </c>
      <c r="Q676" s="1">
        <v>0.12</v>
      </c>
      <c r="R676" s="1">
        <v>1</v>
      </c>
      <c r="S676" s="2">
        <v>2</v>
      </c>
      <c r="T676" s="1">
        <v>21.5</v>
      </c>
      <c r="U676" s="17">
        <v>0.89760467536325</v>
      </c>
      <c r="V676" s="4">
        <v>21.8</v>
      </c>
      <c r="W676" s="1">
        <v>2.5</v>
      </c>
      <c r="X676" s="13">
        <v>186.913459469741</v>
      </c>
      <c r="Y676" s="9">
        <v>28.2376921866186</v>
      </c>
      <c r="Z676" s="3">
        <v>0.779596106718387</v>
      </c>
    </row>
    <row r="677" spans="2:26">
      <c r="B677" s="1">
        <v>55</v>
      </c>
      <c r="C677" s="1">
        <v>4.8</v>
      </c>
      <c r="D677" s="1">
        <v>0.12</v>
      </c>
      <c r="E677" s="1">
        <v>1</v>
      </c>
      <c r="F677" s="2">
        <v>2</v>
      </c>
      <c r="G677" s="1">
        <v>21.5</v>
      </c>
      <c r="H677" s="3">
        <v>0.89760467536325</v>
      </c>
      <c r="I677" s="4">
        <v>21.8</v>
      </c>
      <c r="J677" s="1">
        <v>2.5</v>
      </c>
      <c r="K677" s="4">
        <v>186.913459469741</v>
      </c>
      <c r="L677" s="13">
        <v>28.2376921866186</v>
      </c>
      <c r="M677" s="9">
        <v>0.779596106718387</v>
      </c>
      <c r="O677" s="1">
        <v>60</v>
      </c>
      <c r="P677" s="1">
        <v>4.8</v>
      </c>
      <c r="Q677" s="1">
        <v>0.12</v>
      </c>
      <c r="R677" s="1">
        <v>1</v>
      </c>
      <c r="S677" s="2">
        <v>2</v>
      </c>
      <c r="T677" s="1">
        <v>21.5</v>
      </c>
      <c r="U677" s="17">
        <v>0.868253123396246</v>
      </c>
      <c r="V677" s="4">
        <v>21.8</v>
      </c>
      <c r="W677" s="1">
        <v>3.2</v>
      </c>
      <c r="X677" s="13">
        <v>239.751472073695</v>
      </c>
      <c r="Y677" s="9">
        <v>32.6600125450468</v>
      </c>
      <c r="Z677" s="3">
        <v>0.815611620278043</v>
      </c>
    </row>
    <row r="678" spans="2:26">
      <c r="B678" s="1">
        <v>60</v>
      </c>
      <c r="C678" s="1">
        <v>4.8</v>
      </c>
      <c r="D678" s="1">
        <v>0.12</v>
      </c>
      <c r="E678" s="1">
        <v>1</v>
      </c>
      <c r="F678" s="2">
        <v>2</v>
      </c>
      <c r="G678" s="1">
        <v>21.5</v>
      </c>
      <c r="H678" s="3">
        <v>0.868253123396246</v>
      </c>
      <c r="I678" s="4">
        <v>21.8</v>
      </c>
      <c r="J678" s="1">
        <v>3.2</v>
      </c>
      <c r="K678" s="4">
        <v>239.751472073695</v>
      </c>
      <c r="L678" s="13">
        <v>32.6600125450468</v>
      </c>
      <c r="M678" s="9">
        <v>0.815611620278043</v>
      </c>
      <c r="O678" s="1">
        <v>65</v>
      </c>
      <c r="P678" s="1">
        <v>4.8</v>
      </c>
      <c r="Q678" s="1">
        <v>0.12</v>
      </c>
      <c r="R678" s="1">
        <v>1</v>
      </c>
      <c r="S678" s="2">
        <v>2</v>
      </c>
      <c r="T678" s="1">
        <v>21.5</v>
      </c>
      <c r="U678" s="17">
        <v>0.831152647810126</v>
      </c>
      <c r="V678" s="4">
        <v>21.8</v>
      </c>
      <c r="W678" s="1">
        <v>4.1</v>
      </c>
      <c r="X678" s="13">
        <v>305.106455314382</v>
      </c>
      <c r="Y678" s="9">
        <v>38.0621365854329</v>
      </c>
      <c r="Z678" s="3">
        <v>0.858122662235317</v>
      </c>
    </row>
    <row r="679" spans="2:26">
      <c r="B679" s="1">
        <v>65</v>
      </c>
      <c r="C679" s="1">
        <v>4.8</v>
      </c>
      <c r="D679" s="1">
        <v>0.12</v>
      </c>
      <c r="E679" s="1">
        <v>1</v>
      </c>
      <c r="F679" s="2">
        <v>2</v>
      </c>
      <c r="G679" s="1">
        <v>21.5</v>
      </c>
      <c r="H679" s="3">
        <v>0.831152647810126</v>
      </c>
      <c r="I679" s="4">
        <v>21.8</v>
      </c>
      <c r="J679" s="1">
        <v>4.1</v>
      </c>
      <c r="K679" s="4">
        <v>305.106455314382</v>
      </c>
      <c r="L679" s="13">
        <v>38.0621365854329</v>
      </c>
      <c r="M679" s="9">
        <v>0.858122662235317</v>
      </c>
      <c r="O679" s="1">
        <v>70</v>
      </c>
      <c r="P679" s="1">
        <v>4.8</v>
      </c>
      <c r="Q679" s="1">
        <v>0.12</v>
      </c>
      <c r="R679" s="1">
        <v>1</v>
      </c>
      <c r="S679" s="2">
        <v>2</v>
      </c>
      <c r="T679" s="1">
        <v>21.5</v>
      </c>
      <c r="U679" s="17">
        <v>0.784179277129304</v>
      </c>
      <c r="V679" s="4">
        <v>21.8</v>
      </c>
      <c r="W679" s="1">
        <v>5.3</v>
      </c>
      <c r="X679" s="13">
        <v>387.451961126437</v>
      </c>
      <c r="Y679" s="9">
        <v>44.8849396119573</v>
      </c>
      <c r="Z679" s="3">
        <v>0.915068314939759</v>
      </c>
    </row>
    <row r="680" spans="2:26">
      <c r="B680" s="1">
        <v>70</v>
      </c>
      <c r="C680" s="1">
        <v>4.8</v>
      </c>
      <c r="D680" s="1">
        <v>0.12</v>
      </c>
      <c r="E680" s="1">
        <v>1</v>
      </c>
      <c r="F680" s="2">
        <v>2</v>
      </c>
      <c r="G680" s="1">
        <v>21.5</v>
      </c>
      <c r="H680" s="3">
        <v>0.784179277129304</v>
      </c>
      <c r="I680" s="4">
        <v>21.8</v>
      </c>
      <c r="J680" s="1">
        <v>5.3</v>
      </c>
      <c r="K680" s="4">
        <v>387.451961126437</v>
      </c>
      <c r="L680" s="13">
        <v>44.8849396119573</v>
      </c>
      <c r="M680" s="9">
        <v>0.915068314939759</v>
      </c>
      <c r="O680" s="1">
        <v>45</v>
      </c>
      <c r="P680" s="1">
        <v>5.5</v>
      </c>
      <c r="Q680" s="1">
        <v>0.12</v>
      </c>
      <c r="R680" s="1">
        <v>1</v>
      </c>
      <c r="S680" s="2">
        <v>2</v>
      </c>
      <c r="T680" s="1">
        <v>21.5</v>
      </c>
      <c r="U680" s="17">
        <v>0.93913980595102</v>
      </c>
      <c r="V680" s="4">
        <v>21.8</v>
      </c>
      <c r="W680" s="1">
        <v>1.5</v>
      </c>
      <c r="X680" s="13">
        <v>116.448581891055</v>
      </c>
      <c r="Y680" s="9">
        <v>23.0483150210956</v>
      </c>
      <c r="Z680" s="3">
        <v>0.620368330402295</v>
      </c>
    </row>
    <row r="681" spans="2:26">
      <c r="B681" s="1">
        <v>45</v>
      </c>
      <c r="C681" s="1">
        <v>5.5</v>
      </c>
      <c r="D681" s="1">
        <v>0.12</v>
      </c>
      <c r="E681" s="1">
        <v>1</v>
      </c>
      <c r="F681" s="2">
        <v>2</v>
      </c>
      <c r="G681" s="1">
        <v>21.5</v>
      </c>
      <c r="H681" s="3">
        <v>0.93913980595102</v>
      </c>
      <c r="I681" s="4">
        <v>21.8</v>
      </c>
      <c r="J681" s="1">
        <v>1.5</v>
      </c>
      <c r="K681" s="4">
        <v>116.448581891055</v>
      </c>
      <c r="L681" s="13">
        <v>23.0483150210956</v>
      </c>
      <c r="M681" s="9">
        <v>0.620368330402295</v>
      </c>
      <c r="O681" s="1">
        <v>50</v>
      </c>
      <c r="P681" s="1">
        <v>5.5</v>
      </c>
      <c r="Q681" s="1">
        <v>0.12</v>
      </c>
      <c r="R681" s="1">
        <v>1</v>
      </c>
      <c r="S681" s="2">
        <v>2</v>
      </c>
      <c r="T681" s="1">
        <v>21.5</v>
      </c>
      <c r="U681" s="17">
        <v>0.920818198615511</v>
      </c>
      <c r="V681" s="4">
        <v>21.8</v>
      </c>
      <c r="W681" s="1">
        <v>2.2</v>
      </c>
      <c r="X681" s="13">
        <v>163.773011202169</v>
      </c>
      <c r="Y681" s="9">
        <v>28.1786693105068</v>
      </c>
      <c r="Z681" s="3">
        <v>0.736126187162083</v>
      </c>
    </row>
    <row r="682" spans="2:26">
      <c r="B682" s="1">
        <v>50</v>
      </c>
      <c r="C682" s="1">
        <v>5.5</v>
      </c>
      <c r="D682" s="1">
        <v>0.12</v>
      </c>
      <c r="E682" s="1">
        <v>1</v>
      </c>
      <c r="F682" s="2">
        <v>2</v>
      </c>
      <c r="G682" s="1">
        <v>21.5</v>
      </c>
      <c r="H682" s="3">
        <v>0.920818198615511</v>
      </c>
      <c r="I682" s="4">
        <v>21.8</v>
      </c>
      <c r="J682" s="1">
        <v>2.2</v>
      </c>
      <c r="K682" s="4">
        <v>163.773011202169</v>
      </c>
      <c r="L682" s="13">
        <v>28.1786693105068</v>
      </c>
      <c r="M682" s="9">
        <v>0.736126187162083</v>
      </c>
      <c r="O682" s="1">
        <v>55</v>
      </c>
      <c r="P682" s="1">
        <v>5.5</v>
      </c>
      <c r="Q682" s="1">
        <v>0.12</v>
      </c>
      <c r="R682" s="1">
        <v>1</v>
      </c>
      <c r="S682" s="2">
        <v>2</v>
      </c>
      <c r="T682" s="1">
        <v>21.5</v>
      </c>
      <c r="U682" s="17">
        <v>0.89760467536325</v>
      </c>
      <c r="V682" s="4">
        <v>21.8</v>
      </c>
      <c r="W682" s="1">
        <v>2.9</v>
      </c>
      <c r="X682" s="13">
        <v>215.462904947967</v>
      </c>
      <c r="Y682" s="9">
        <v>32.8881213747723</v>
      </c>
      <c r="Z682" s="3">
        <v>0.789234749492359</v>
      </c>
    </row>
    <row r="683" spans="2:26">
      <c r="B683" s="1">
        <v>55</v>
      </c>
      <c r="C683" s="1">
        <v>5.5</v>
      </c>
      <c r="D683" s="1">
        <v>0.12</v>
      </c>
      <c r="E683" s="1">
        <v>1</v>
      </c>
      <c r="F683" s="2">
        <v>2</v>
      </c>
      <c r="G683" s="1">
        <v>21.5</v>
      </c>
      <c r="H683" s="3">
        <v>0.89760467536325</v>
      </c>
      <c r="I683" s="4">
        <v>21.8</v>
      </c>
      <c r="J683" s="1">
        <v>2.9</v>
      </c>
      <c r="K683" s="4">
        <v>215.462904947967</v>
      </c>
      <c r="L683" s="13">
        <v>32.8881213747723</v>
      </c>
      <c r="M683" s="9">
        <v>0.789234749492359</v>
      </c>
      <c r="O683" s="1">
        <v>60</v>
      </c>
      <c r="P683" s="1">
        <v>5.5</v>
      </c>
      <c r="Q683" s="1">
        <v>0.12</v>
      </c>
      <c r="R683" s="1">
        <v>1</v>
      </c>
      <c r="S683" s="2">
        <v>2</v>
      </c>
      <c r="T683" s="1">
        <v>21.5</v>
      </c>
      <c r="U683" s="17">
        <v>0.868253123396246</v>
      </c>
      <c r="V683" s="4">
        <v>21.8</v>
      </c>
      <c r="W683" s="1">
        <v>3.8</v>
      </c>
      <c r="X683" s="13">
        <v>279.576339528887</v>
      </c>
      <c r="Y683" s="9">
        <v>38.6100816414497</v>
      </c>
      <c r="Z683" s="3">
        <v>0.845270224651791</v>
      </c>
    </row>
    <row r="684" spans="2:26">
      <c r="B684" s="1">
        <v>60</v>
      </c>
      <c r="C684" s="1">
        <v>5.5</v>
      </c>
      <c r="D684" s="1">
        <v>0.12</v>
      </c>
      <c r="E684" s="1">
        <v>1</v>
      </c>
      <c r="F684" s="2">
        <v>2</v>
      </c>
      <c r="G684" s="1">
        <v>21.5</v>
      </c>
      <c r="H684" s="3">
        <v>0.868253123396246</v>
      </c>
      <c r="I684" s="4">
        <v>21.8</v>
      </c>
      <c r="J684" s="1">
        <v>3.8</v>
      </c>
      <c r="K684" s="4">
        <v>279.576339528887</v>
      </c>
      <c r="L684" s="13">
        <v>38.6100816414497</v>
      </c>
      <c r="M684" s="9">
        <v>0.845270224651791</v>
      </c>
      <c r="O684" s="1">
        <v>65</v>
      </c>
      <c r="P684" s="1">
        <v>5.5</v>
      </c>
      <c r="Q684" s="1">
        <v>0.12</v>
      </c>
      <c r="R684" s="1">
        <v>1</v>
      </c>
      <c r="S684" s="2">
        <v>2</v>
      </c>
      <c r="T684" s="1">
        <v>21.5</v>
      </c>
      <c r="U684" s="17">
        <v>0.831152647810126</v>
      </c>
      <c r="V684" s="4">
        <v>21.8</v>
      </c>
      <c r="W684" s="1">
        <v>4.5</v>
      </c>
      <c r="X684" s="13">
        <v>342.38543490884</v>
      </c>
      <c r="Y684" s="9">
        <v>43.0638992184236</v>
      </c>
      <c r="Z684" s="3">
        <v>0.821971153183275</v>
      </c>
    </row>
    <row r="685" spans="2:26">
      <c r="B685" s="1">
        <v>65</v>
      </c>
      <c r="C685" s="1">
        <v>5.5</v>
      </c>
      <c r="D685" s="1">
        <v>0.12</v>
      </c>
      <c r="E685" s="1">
        <v>1</v>
      </c>
      <c r="F685" s="2">
        <v>2</v>
      </c>
      <c r="G685" s="1">
        <v>21.5</v>
      </c>
      <c r="H685" s="3">
        <v>0.831152647810126</v>
      </c>
      <c r="I685" s="4">
        <v>21.8</v>
      </c>
      <c r="J685" s="1">
        <v>4.5</v>
      </c>
      <c r="K685" s="4">
        <v>342.38543490884</v>
      </c>
      <c r="L685" s="13">
        <v>43.0638992184236</v>
      </c>
      <c r="M685" s="9">
        <v>0.821971153183275</v>
      </c>
      <c r="O685" s="1">
        <v>70</v>
      </c>
      <c r="P685" s="1">
        <v>5.5</v>
      </c>
      <c r="Q685" s="1">
        <v>0.12</v>
      </c>
      <c r="R685" s="1">
        <v>1</v>
      </c>
      <c r="S685" s="2">
        <v>2</v>
      </c>
      <c r="T685" s="1">
        <v>21.5</v>
      </c>
      <c r="U685" s="17">
        <v>0.784179277129304</v>
      </c>
      <c r="V685" s="4">
        <v>22</v>
      </c>
      <c r="W685" s="1">
        <v>6</v>
      </c>
      <c r="X685" s="13">
        <v>441.003744008872</v>
      </c>
      <c r="Y685" s="9">
        <v>46.6482342247131</v>
      </c>
      <c r="Z685" s="3">
        <v>0.904364517696405</v>
      </c>
    </row>
    <row r="686" spans="2:26">
      <c r="B686" s="1">
        <v>70</v>
      </c>
      <c r="C686" s="1">
        <v>5.5</v>
      </c>
      <c r="D686" s="1">
        <v>0.12</v>
      </c>
      <c r="E686" s="1">
        <v>1</v>
      </c>
      <c r="F686" s="2">
        <v>2</v>
      </c>
      <c r="G686" s="1">
        <v>21.5</v>
      </c>
      <c r="H686" s="3">
        <v>0.784179277129304</v>
      </c>
      <c r="I686" s="4">
        <v>22</v>
      </c>
      <c r="J686" s="1">
        <v>6</v>
      </c>
      <c r="K686" s="4">
        <v>441.003744008872</v>
      </c>
      <c r="L686" s="13">
        <v>46.6482342247131</v>
      </c>
      <c r="M686" s="9">
        <v>0.904364517696405</v>
      </c>
      <c r="O686" s="1">
        <v>45</v>
      </c>
      <c r="P686" s="1">
        <v>6.6</v>
      </c>
      <c r="Q686" s="1">
        <v>0.12</v>
      </c>
      <c r="R686" s="1">
        <v>1</v>
      </c>
      <c r="S686" s="2">
        <v>2</v>
      </c>
      <c r="T686" s="1">
        <v>21.5</v>
      </c>
      <c r="U686" s="17">
        <v>0.93913980595102</v>
      </c>
      <c r="V686" s="4">
        <v>21.9</v>
      </c>
      <c r="W686" s="1">
        <v>1.8</v>
      </c>
      <c r="X686" s="13">
        <v>139.544246472417</v>
      </c>
      <c r="Y686" s="9">
        <v>26.1635831120806</v>
      </c>
      <c r="Z686" s="3">
        <v>0.62046949147285</v>
      </c>
    </row>
    <row r="687" spans="2:26">
      <c r="B687" s="1">
        <v>45</v>
      </c>
      <c r="C687" s="1">
        <v>6.6</v>
      </c>
      <c r="D687" s="1">
        <v>0.12</v>
      </c>
      <c r="E687" s="1">
        <v>1</v>
      </c>
      <c r="F687" s="2">
        <v>2</v>
      </c>
      <c r="G687" s="1">
        <v>21.5</v>
      </c>
      <c r="H687" s="3">
        <v>0.93913980595102</v>
      </c>
      <c r="I687" s="4">
        <v>21.9</v>
      </c>
      <c r="J687" s="1">
        <v>1.8</v>
      </c>
      <c r="K687" s="4">
        <v>139.544246472417</v>
      </c>
      <c r="L687" s="13">
        <v>26.1635831120806</v>
      </c>
      <c r="M687" s="9">
        <v>0.62046949147285</v>
      </c>
      <c r="O687" s="1">
        <v>50</v>
      </c>
      <c r="P687" s="1">
        <v>6.6</v>
      </c>
      <c r="Q687" s="1">
        <v>0.12</v>
      </c>
      <c r="R687" s="1">
        <v>1</v>
      </c>
      <c r="S687" s="2">
        <v>2</v>
      </c>
      <c r="T687" s="1">
        <v>21.5</v>
      </c>
      <c r="U687" s="17">
        <v>0.920818198615511</v>
      </c>
      <c r="V687" s="4">
        <v>21.9</v>
      </c>
      <c r="W687" s="1">
        <v>2.6</v>
      </c>
      <c r="X687" s="13">
        <v>194.877967446336</v>
      </c>
      <c r="Y687" s="9">
        <v>31.8723580680552</v>
      </c>
      <c r="Z687" s="3">
        <v>0.725090022518615</v>
      </c>
    </row>
    <row r="688" spans="2:26">
      <c r="B688" s="1">
        <v>50</v>
      </c>
      <c r="C688" s="1">
        <v>6.6</v>
      </c>
      <c r="D688" s="1">
        <v>0.12</v>
      </c>
      <c r="E688" s="1">
        <v>1</v>
      </c>
      <c r="F688" s="2">
        <v>2</v>
      </c>
      <c r="G688" s="1">
        <v>21.5</v>
      </c>
      <c r="H688" s="3">
        <v>0.920818198615511</v>
      </c>
      <c r="I688" s="4">
        <v>21.9</v>
      </c>
      <c r="J688" s="1">
        <v>2.6</v>
      </c>
      <c r="K688" s="4">
        <v>194.877967446336</v>
      </c>
      <c r="L688" s="13">
        <v>31.8723580680552</v>
      </c>
      <c r="M688" s="9">
        <v>0.725090022518615</v>
      </c>
      <c r="O688" s="1">
        <v>55</v>
      </c>
      <c r="P688" s="1">
        <v>6.6</v>
      </c>
      <c r="Q688" s="1">
        <v>0.12</v>
      </c>
      <c r="R688" s="1">
        <v>1</v>
      </c>
      <c r="S688" s="2">
        <v>2</v>
      </c>
      <c r="T688" s="1">
        <v>21.5</v>
      </c>
      <c r="U688" s="17">
        <v>0.89760467536325</v>
      </c>
      <c r="V688" s="4">
        <v>21.9</v>
      </c>
      <c r="W688" s="1">
        <v>3.5</v>
      </c>
      <c r="X688" s="13">
        <v>259.096464029833</v>
      </c>
      <c r="Y688" s="9">
        <v>37.7920913414896</v>
      </c>
      <c r="Z688" s="3">
        <v>0.793897941677569</v>
      </c>
    </row>
    <row r="689" spans="2:26">
      <c r="B689" s="1">
        <v>55</v>
      </c>
      <c r="C689" s="1">
        <v>6.6</v>
      </c>
      <c r="D689" s="1">
        <v>0.12</v>
      </c>
      <c r="E689" s="1">
        <v>1</v>
      </c>
      <c r="F689" s="2">
        <v>2</v>
      </c>
      <c r="G689" s="1">
        <v>21.5</v>
      </c>
      <c r="H689" s="3">
        <v>0.89760467536325</v>
      </c>
      <c r="I689" s="4">
        <v>21.9</v>
      </c>
      <c r="J689" s="1">
        <v>3.5</v>
      </c>
      <c r="K689" s="4">
        <v>259.096464029833</v>
      </c>
      <c r="L689" s="13">
        <v>37.7920913414896</v>
      </c>
      <c r="M689" s="9">
        <v>0.793897941677569</v>
      </c>
      <c r="O689" s="1">
        <v>60</v>
      </c>
      <c r="P689" s="1">
        <v>6.6</v>
      </c>
      <c r="Q689" s="1">
        <v>0.12</v>
      </c>
      <c r="R689" s="1">
        <v>1</v>
      </c>
      <c r="S689" s="2">
        <v>2</v>
      </c>
      <c r="T689" s="1">
        <v>21.5</v>
      </c>
      <c r="U689" s="17">
        <v>0.868253123396246</v>
      </c>
      <c r="V689" s="4">
        <v>21.9</v>
      </c>
      <c r="W689" s="1">
        <v>4.5</v>
      </c>
      <c r="X689" s="13">
        <v>333.119505711689</v>
      </c>
      <c r="Y689" s="9">
        <v>44.0456485301033</v>
      </c>
      <c r="Z689" s="3">
        <v>0.834281021714365</v>
      </c>
    </row>
    <row r="690" spans="2:26">
      <c r="B690" s="1">
        <v>60</v>
      </c>
      <c r="C690" s="1">
        <v>6.6</v>
      </c>
      <c r="D690" s="1">
        <v>0.12</v>
      </c>
      <c r="E690" s="1">
        <v>1</v>
      </c>
      <c r="F690" s="2">
        <v>2</v>
      </c>
      <c r="G690" s="1">
        <v>21.5</v>
      </c>
      <c r="H690" s="3">
        <v>0.868253123396246</v>
      </c>
      <c r="I690" s="4">
        <v>21.9</v>
      </c>
      <c r="J690" s="1">
        <v>4.5</v>
      </c>
      <c r="K690" s="4">
        <v>333.119505711689</v>
      </c>
      <c r="L690" s="13">
        <v>44.0456485301033</v>
      </c>
      <c r="M690" s="9">
        <v>0.834281021714365</v>
      </c>
      <c r="O690" s="1">
        <v>65</v>
      </c>
      <c r="P690" s="1">
        <v>6.6</v>
      </c>
      <c r="Q690" s="1">
        <v>0.12</v>
      </c>
      <c r="R690" s="1">
        <v>1</v>
      </c>
      <c r="S690" s="2">
        <v>2</v>
      </c>
      <c r="T690" s="1">
        <v>21.5</v>
      </c>
      <c r="U690" s="17">
        <v>0.831152647810126</v>
      </c>
      <c r="V690" s="4">
        <v>21.9</v>
      </c>
      <c r="W690" s="1">
        <v>5.7</v>
      </c>
      <c r="X690" s="13">
        <v>421.619558389004</v>
      </c>
      <c r="Y690" s="9">
        <v>51.277504104547</v>
      </c>
      <c r="Z690" s="3">
        <v>0.867773230883079</v>
      </c>
    </row>
    <row r="691" spans="2:26">
      <c r="B691" s="1">
        <v>65</v>
      </c>
      <c r="C691" s="1">
        <v>6.6</v>
      </c>
      <c r="D691" s="1">
        <v>0.12</v>
      </c>
      <c r="E691" s="1">
        <v>1</v>
      </c>
      <c r="F691" s="2">
        <v>2</v>
      </c>
      <c r="G691" s="1">
        <v>21.5</v>
      </c>
      <c r="H691" s="3">
        <v>0.831152647810126</v>
      </c>
      <c r="I691" s="4">
        <v>21.9</v>
      </c>
      <c r="J691" s="1">
        <v>5.7</v>
      </c>
      <c r="K691" s="4">
        <v>421.619558389004</v>
      </c>
      <c r="L691" s="13">
        <v>51.277504104547</v>
      </c>
      <c r="M691" s="9">
        <v>0.867773230883079</v>
      </c>
      <c r="O691" s="1">
        <v>70</v>
      </c>
      <c r="P691" s="1">
        <v>6.6</v>
      </c>
      <c r="Q691" s="1">
        <v>0.12</v>
      </c>
      <c r="R691" s="1">
        <v>1</v>
      </c>
      <c r="S691" s="2">
        <v>2</v>
      </c>
      <c r="T691" s="1">
        <v>21.5</v>
      </c>
      <c r="U691" s="17">
        <v>0.784179277129304</v>
      </c>
      <c r="V691" s="4">
        <v>22</v>
      </c>
      <c r="W691" s="1">
        <v>7</v>
      </c>
      <c r="X691" s="13">
        <v>521.912826143979</v>
      </c>
      <c r="Y691" s="9">
        <v>56.2499899974366</v>
      </c>
      <c r="Z691" s="3">
        <v>0.879243281093727</v>
      </c>
    </row>
    <row r="692" spans="2:26">
      <c r="B692" s="1">
        <v>70</v>
      </c>
      <c r="C692" s="1">
        <v>6.6</v>
      </c>
      <c r="D692" s="1">
        <v>0.12</v>
      </c>
      <c r="E692" s="1">
        <v>1</v>
      </c>
      <c r="F692" s="2">
        <v>2</v>
      </c>
      <c r="G692" s="1">
        <v>21.5</v>
      </c>
      <c r="H692" s="3">
        <v>0.784179277129304</v>
      </c>
      <c r="I692" s="4">
        <v>22</v>
      </c>
      <c r="J692" s="1">
        <v>7</v>
      </c>
      <c r="K692" s="4">
        <v>521.912826143979</v>
      </c>
      <c r="L692" s="13">
        <v>56.2499899974366</v>
      </c>
      <c r="M692" s="9">
        <v>0.879243281093727</v>
      </c>
      <c r="O692" s="1">
        <v>45</v>
      </c>
      <c r="P692" s="1">
        <v>8</v>
      </c>
      <c r="Q692" s="1">
        <v>0.12</v>
      </c>
      <c r="R692" s="1">
        <v>1</v>
      </c>
      <c r="S692" s="2">
        <v>2</v>
      </c>
      <c r="T692" s="1">
        <v>21.4</v>
      </c>
      <c r="U692" s="17">
        <v>0.93913980595102</v>
      </c>
      <c r="V692" s="4">
        <v>22.2</v>
      </c>
      <c r="W692" s="1">
        <v>2.4</v>
      </c>
      <c r="X692" s="13">
        <v>176.388377166368</v>
      </c>
      <c r="Y692" s="9">
        <v>28.3357961368529</v>
      </c>
      <c r="Z692" s="3">
        <v>0.682850272152966</v>
      </c>
    </row>
    <row r="693" spans="2:26">
      <c r="B693" s="1">
        <v>45</v>
      </c>
      <c r="C693" s="1">
        <v>8</v>
      </c>
      <c r="D693" s="1">
        <v>0.12</v>
      </c>
      <c r="E693" s="1">
        <v>1</v>
      </c>
      <c r="F693" s="2">
        <v>2</v>
      </c>
      <c r="G693" s="1">
        <v>21.4</v>
      </c>
      <c r="H693" s="3">
        <v>0.93913980595102</v>
      </c>
      <c r="I693" s="4">
        <v>22.2</v>
      </c>
      <c r="J693" s="1">
        <v>2.4</v>
      </c>
      <c r="K693" s="4">
        <v>176.388377166368</v>
      </c>
      <c r="L693" s="13">
        <v>28.3357961368529</v>
      </c>
      <c r="M693" s="9">
        <v>0.682850272152966</v>
      </c>
      <c r="O693" s="1">
        <v>50</v>
      </c>
      <c r="P693" s="1">
        <v>8</v>
      </c>
      <c r="Q693" s="1">
        <v>0.12</v>
      </c>
      <c r="R693" s="1">
        <v>1</v>
      </c>
      <c r="S693" s="2">
        <v>2</v>
      </c>
      <c r="T693" s="1">
        <v>21.4</v>
      </c>
      <c r="U693" s="17">
        <v>0.920818198615511</v>
      </c>
      <c r="V693" s="4">
        <v>22.2</v>
      </c>
      <c r="W693" s="1">
        <v>3.1</v>
      </c>
      <c r="X693" s="13">
        <v>233.637011123832</v>
      </c>
      <c r="Y693" s="9">
        <v>32.7453338435407</v>
      </c>
      <c r="Z693" s="3">
        <v>0.713583626393052</v>
      </c>
    </row>
    <row r="694" spans="2:26">
      <c r="B694" s="1">
        <v>50</v>
      </c>
      <c r="C694" s="1">
        <v>8</v>
      </c>
      <c r="D694" s="1">
        <v>0.12</v>
      </c>
      <c r="E694" s="1">
        <v>1</v>
      </c>
      <c r="F694" s="2">
        <v>2</v>
      </c>
      <c r="G694" s="1">
        <v>21.4</v>
      </c>
      <c r="H694" s="3">
        <v>0.920818198615511</v>
      </c>
      <c r="I694" s="4">
        <v>22.2</v>
      </c>
      <c r="J694" s="1">
        <v>3.1</v>
      </c>
      <c r="K694" s="4">
        <v>233.637011123832</v>
      </c>
      <c r="L694" s="13">
        <v>32.7453338435407</v>
      </c>
      <c r="M694" s="9">
        <v>0.713583626393052</v>
      </c>
      <c r="O694" s="1">
        <v>55</v>
      </c>
      <c r="P694" s="1">
        <v>8</v>
      </c>
      <c r="Q694" s="1">
        <v>0.12</v>
      </c>
      <c r="R694" s="1">
        <v>1</v>
      </c>
      <c r="S694" s="2">
        <v>2</v>
      </c>
      <c r="T694" s="1">
        <v>21.4</v>
      </c>
      <c r="U694" s="17">
        <v>0.89760467536325</v>
      </c>
      <c r="V694" s="4">
        <v>22.2</v>
      </c>
      <c r="W694" s="1">
        <v>4.2</v>
      </c>
      <c r="X694" s="13">
        <v>311.820645779812</v>
      </c>
      <c r="Y694" s="9">
        <v>39.295269545617</v>
      </c>
      <c r="Z694" s="3">
        <v>0.78633722232677</v>
      </c>
    </row>
    <row r="695" spans="2:26">
      <c r="B695" s="1">
        <v>55</v>
      </c>
      <c r="C695" s="1">
        <v>8</v>
      </c>
      <c r="D695" s="1">
        <v>0.12</v>
      </c>
      <c r="E695" s="1">
        <v>1</v>
      </c>
      <c r="F695" s="2">
        <v>2</v>
      </c>
      <c r="G695" s="1">
        <v>21.4</v>
      </c>
      <c r="H695" s="3">
        <v>0.89760467536325</v>
      </c>
      <c r="I695" s="4">
        <v>22.2</v>
      </c>
      <c r="J695" s="1">
        <v>4.2</v>
      </c>
      <c r="K695" s="4">
        <v>311.820645779812</v>
      </c>
      <c r="L695" s="13">
        <v>39.295269545617</v>
      </c>
      <c r="M695" s="9">
        <v>0.78633722232677</v>
      </c>
      <c r="O695" s="1">
        <v>60</v>
      </c>
      <c r="P695" s="1">
        <v>8</v>
      </c>
      <c r="Q695" s="1">
        <v>0.12</v>
      </c>
      <c r="R695" s="1">
        <v>1</v>
      </c>
      <c r="S695" s="2">
        <v>2</v>
      </c>
      <c r="T695" s="1">
        <v>21.4</v>
      </c>
      <c r="U695" s="17">
        <v>0.868253123396246</v>
      </c>
      <c r="V695" s="4">
        <v>22.3</v>
      </c>
      <c r="W695" s="1">
        <v>5.5</v>
      </c>
      <c r="X695" s="13">
        <v>404.53609540261</v>
      </c>
      <c r="Y695" s="9">
        <v>45.2891199192711</v>
      </c>
      <c r="Z695" s="3">
        <v>0.841768884162995</v>
      </c>
    </row>
    <row r="696" spans="2:26">
      <c r="B696" s="1">
        <v>60</v>
      </c>
      <c r="C696" s="1">
        <v>8</v>
      </c>
      <c r="D696" s="1">
        <v>0.12</v>
      </c>
      <c r="E696" s="1">
        <v>1</v>
      </c>
      <c r="F696" s="2">
        <v>2</v>
      </c>
      <c r="G696" s="1">
        <v>21.4</v>
      </c>
      <c r="H696" s="3">
        <v>0.868253123396246</v>
      </c>
      <c r="I696" s="4">
        <v>22.3</v>
      </c>
      <c r="J696" s="1">
        <v>5.5</v>
      </c>
      <c r="K696" s="4">
        <v>404.53609540261</v>
      </c>
      <c r="L696" s="13">
        <v>45.2891199192711</v>
      </c>
      <c r="M696" s="9">
        <v>0.841768884162995</v>
      </c>
      <c r="O696" s="1">
        <v>65</v>
      </c>
      <c r="P696" s="1">
        <v>8</v>
      </c>
      <c r="Q696" s="1">
        <v>0.12</v>
      </c>
      <c r="R696" s="1">
        <v>1</v>
      </c>
      <c r="S696" s="2">
        <v>2</v>
      </c>
      <c r="T696" s="1">
        <v>21.4</v>
      </c>
      <c r="U696" s="17">
        <v>0.831152647810126</v>
      </c>
      <c r="V696" s="4">
        <v>22.3</v>
      </c>
      <c r="W696" s="1">
        <v>6.9</v>
      </c>
      <c r="X696" s="13">
        <v>509.840850004537</v>
      </c>
      <c r="Y696" s="9">
        <v>52.8089345820265</v>
      </c>
      <c r="Z696" s="3">
        <v>0.867178757412216</v>
      </c>
    </row>
    <row r="697" spans="2:26">
      <c r="B697" s="1">
        <v>65</v>
      </c>
      <c r="C697" s="1">
        <v>8</v>
      </c>
      <c r="D697" s="1">
        <v>0.12</v>
      </c>
      <c r="E697" s="1">
        <v>1</v>
      </c>
      <c r="F697" s="2">
        <v>2</v>
      </c>
      <c r="G697" s="1">
        <v>21.4</v>
      </c>
      <c r="H697" s="3">
        <v>0.831152647810126</v>
      </c>
      <c r="I697" s="4">
        <v>22.3</v>
      </c>
      <c r="J697" s="1">
        <v>6.9</v>
      </c>
      <c r="K697" s="4">
        <v>509.840850004537</v>
      </c>
      <c r="L697" s="13">
        <v>52.8089345820265</v>
      </c>
      <c r="M697" s="9">
        <v>0.867178757412216</v>
      </c>
      <c r="O697" s="1">
        <v>70</v>
      </c>
      <c r="P697" s="1">
        <v>8</v>
      </c>
      <c r="Q697" s="1">
        <v>0.12</v>
      </c>
      <c r="R697" s="1">
        <v>1</v>
      </c>
      <c r="S697" s="2">
        <v>2</v>
      </c>
      <c r="T697" s="1">
        <v>21.4</v>
      </c>
      <c r="U697" s="17">
        <v>0.784179277129304</v>
      </c>
      <c r="V697" s="4">
        <v>22.3</v>
      </c>
      <c r="W697" s="1">
        <v>8.7</v>
      </c>
      <c r="X697" s="13">
        <v>639.821349201626</v>
      </c>
      <c r="Y697" s="9">
        <v>62.2060046282236</v>
      </c>
      <c r="Z697" s="3">
        <v>0.901962001922299</v>
      </c>
    </row>
    <row r="698" spans="2:13">
      <c r="B698" s="1">
        <v>70</v>
      </c>
      <c r="C698" s="1">
        <v>8</v>
      </c>
      <c r="D698" s="1">
        <v>0.12</v>
      </c>
      <c r="E698" s="1">
        <v>1</v>
      </c>
      <c r="F698" s="2">
        <v>2</v>
      </c>
      <c r="G698" s="1">
        <v>21.4</v>
      </c>
      <c r="H698" s="3">
        <v>0.784179277129304</v>
      </c>
      <c r="I698" s="4">
        <v>22.3</v>
      </c>
      <c r="J698" s="1">
        <v>8.7</v>
      </c>
      <c r="K698" s="4">
        <v>639.821349201626</v>
      </c>
      <c r="L698" s="13">
        <v>62.2060046282236</v>
      </c>
      <c r="M698" s="9">
        <v>0.901962001922299</v>
      </c>
    </row>
  </sheetData>
  <sortState ref="B2:M748">
    <sortCondition ref="E129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4"/>
  <sheetViews>
    <sheetView topLeftCell="I19" workbookViewId="0">
      <selection activeCell="U1" sqref="U1:U50"/>
    </sheetView>
  </sheetViews>
  <sheetFormatPr defaultColWidth="9" defaultRowHeight="15"/>
  <cols>
    <col min="16" max="16" width="12.6283185840708"/>
    <col min="18" max="18" width="12.6283185840708"/>
    <col min="27" max="27" width="12.6283185840708"/>
    <col min="39" max="39" width="11.1238938053097"/>
    <col min="40" max="40" width="12.6283185840708"/>
    <col min="42" max="44" width="12.6283185840708"/>
    <col min="45" max="45" width="11.1238938053097"/>
    <col min="46" max="46" width="12.6283185840708"/>
  </cols>
  <sheetData>
    <row r="1" spans="1:48">
      <c r="A1" s="1">
        <v>65</v>
      </c>
      <c r="B1" s="1">
        <v>10.6</v>
      </c>
      <c r="C1" s="1">
        <v>0.078</v>
      </c>
      <c r="D1" s="1">
        <v>1</v>
      </c>
      <c r="E1" s="2">
        <v>0</v>
      </c>
      <c r="F1" s="1">
        <v>20</v>
      </c>
      <c r="G1" s="3">
        <v>0.831152647810126</v>
      </c>
      <c r="H1" s="4">
        <v>20.2</v>
      </c>
      <c r="I1" s="1">
        <v>13.9</v>
      </c>
      <c r="J1" s="7">
        <v>677.680923160818</v>
      </c>
      <c r="K1" s="8">
        <v>114.133576347964</v>
      </c>
      <c r="L1" s="9">
        <v>0.854101953534646</v>
      </c>
      <c r="N1" t="s">
        <v>26</v>
      </c>
      <c r="O1">
        <v>14.2963</v>
      </c>
      <c r="P1">
        <f>ABS(O1-I1)/I1</f>
        <v>0.0285107913669065</v>
      </c>
      <c r="Q1" s="12">
        <v>626.4863</v>
      </c>
      <c r="R1">
        <f>ABS(Q1-J1)/J1</f>
        <v>0.0755438457999343</v>
      </c>
      <c r="S1" s="12"/>
      <c r="T1" s="12" t="s">
        <v>26</v>
      </c>
      <c r="U1" s="12">
        <v>626.4863</v>
      </c>
      <c r="V1" s="12"/>
      <c r="W1" s="12"/>
      <c r="X1" s="12"/>
      <c r="Y1" s="12"/>
      <c r="Z1" s="12">
        <v>11.0776599638936</v>
      </c>
      <c r="AA1">
        <f>ABS(Z1-I1)/I1</f>
        <v>0.203046045763052</v>
      </c>
      <c r="AL1" t="s">
        <v>27</v>
      </c>
      <c r="AM1" s="12">
        <v>13.085957519965</v>
      </c>
      <c r="AN1">
        <f>ABS(AM1-I1)/I1</f>
        <v>0.0585642071967612</v>
      </c>
      <c r="AO1" s="12">
        <v>665.843744758192</v>
      </c>
      <c r="AP1">
        <f>ABS(AO1-J1)/J1</f>
        <v>0.0174671855117528</v>
      </c>
      <c r="AQ1" s="12">
        <v>108.075840634279</v>
      </c>
      <c r="AR1">
        <f>ABS(AQ1-K1)/K1</f>
        <v>0.0530758424253369</v>
      </c>
      <c r="AS1" s="12">
        <v>0.858201083907438</v>
      </c>
      <c r="AT1">
        <f>ABS(AS1-L1)/L1</f>
        <v>0.00479934550650304</v>
      </c>
      <c r="AV1" s="12">
        <v>0.740257982718269</v>
      </c>
    </row>
    <row r="2" spans="1:48">
      <c r="A2" s="1">
        <v>65</v>
      </c>
      <c r="B2" s="1">
        <v>11.4</v>
      </c>
      <c r="C2" s="1">
        <v>0.078</v>
      </c>
      <c r="D2" s="1">
        <v>1</v>
      </c>
      <c r="E2" s="2">
        <v>0</v>
      </c>
      <c r="F2" s="1">
        <v>20</v>
      </c>
      <c r="G2" s="3">
        <v>0.831152647810126</v>
      </c>
      <c r="H2" s="4">
        <v>20.2</v>
      </c>
      <c r="I2" s="1">
        <v>14.9</v>
      </c>
      <c r="J2" s="7">
        <v>727.634470839511</v>
      </c>
      <c r="K2" s="8">
        <v>124.498540061187</v>
      </c>
      <c r="L2" s="9">
        <v>0.851312623222876</v>
      </c>
      <c r="N2" t="s">
        <v>28</v>
      </c>
      <c r="O2">
        <v>14.2963</v>
      </c>
      <c r="P2">
        <f t="shared" ref="P2:P33" si="0">ABS(O2-I2)/I2</f>
        <v>0.0405167785234899</v>
      </c>
      <c r="Q2" s="12">
        <v>626.4863</v>
      </c>
      <c r="R2">
        <f t="shared" ref="R2:R33" si="1">ABS(Q2-J2)/J2</f>
        <v>0.139009591894143</v>
      </c>
      <c r="S2" s="12"/>
      <c r="T2" s="12" t="s">
        <v>28</v>
      </c>
      <c r="U2" s="12">
        <v>626.4863</v>
      </c>
      <c r="V2" s="12"/>
      <c r="W2" s="12"/>
      <c r="X2" s="12"/>
      <c r="Y2" s="12"/>
      <c r="Z2" s="12">
        <v>12.049350036486</v>
      </c>
      <c r="AA2">
        <f t="shared" ref="AA2:AA33" si="2">ABS(Z2-I2)/I2</f>
        <v>0.191318789497585</v>
      </c>
      <c r="AM2" s="12">
        <v>14.0112847779721</v>
      </c>
      <c r="AN2">
        <f t="shared" ref="AN2:AN33" si="3">ABS(AM2-I2)/I2</f>
        <v>0.0596453169146225</v>
      </c>
      <c r="AO2" s="12">
        <v>739.988049825797</v>
      </c>
      <c r="AP2">
        <f t="shared" ref="AP2:AP33" si="4">ABS(AO2-J2)/J2</f>
        <v>0.0169777264290856</v>
      </c>
      <c r="AQ2" s="12">
        <v>118.987814476564</v>
      </c>
      <c r="AR2">
        <f t="shared" ref="AR2:AR33" si="5">ABS(AQ2-K2)/K2</f>
        <v>0.04426337515215</v>
      </c>
      <c r="AS2" s="12">
        <v>0.922984314334092</v>
      </c>
      <c r="AT2">
        <f t="shared" ref="AT2:AT33" si="6">ABS(AS2-L2)/L2</f>
        <v>0.0841896257098639</v>
      </c>
      <c r="AV2" s="12">
        <v>0.723056249832508</v>
      </c>
    </row>
    <row r="3" spans="1:48">
      <c r="A3" s="1">
        <v>60</v>
      </c>
      <c r="B3" s="1">
        <v>10.6</v>
      </c>
      <c r="C3" s="1">
        <v>0.078</v>
      </c>
      <c r="D3" s="1">
        <v>1</v>
      </c>
      <c r="E3" s="2">
        <v>0</v>
      </c>
      <c r="F3" s="1">
        <v>20</v>
      </c>
      <c r="G3" s="3">
        <v>0.868253123396246</v>
      </c>
      <c r="H3" s="4">
        <v>20.2</v>
      </c>
      <c r="I3" s="1">
        <v>10.8</v>
      </c>
      <c r="J3" s="7">
        <v>532.451400413483</v>
      </c>
      <c r="K3" s="8">
        <v>94.3872461744159</v>
      </c>
      <c r="L3" s="9">
        <v>0.808123362398295</v>
      </c>
      <c r="N3" t="s">
        <v>29</v>
      </c>
      <c r="O3">
        <v>11.3893</v>
      </c>
      <c r="P3">
        <f t="shared" si="0"/>
        <v>0.0545648148148148</v>
      </c>
      <c r="Q3" s="12">
        <v>504.3723</v>
      </c>
      <c r="R3">
        <f t="shared" si="1"/>
        <v>0.0527355180053575</v>
      </c>
      <c r="S3" s="12"/>
      <c r="T3" s="12" t="s">
        <v>29</v>
      </c>
      <c r="U3" s="12">
        <v>504.3723</v>
      </c>
      <c r="V3" s="12"/>
      <c r="W3" s="12"/>
      <c r="X3" s="12"/>
      <c r="Y3" s="12"/>
      <c r="Z3" s="12">
        <v>8.97627602248782</v>
      </c>
      <c r="AA3">
        <f t="shared" si="2"/>
        <v>0.168863331251128</v>
      </c>
      <c r="AM3" s="12">
        <v>10.2494866948558</v>
      </c>
      <c r="AN3">
        <f t="shared" si="3"/>
        <v>0.0509734541800189</v>
      </c>
      <c r="AO3" s="12">
        <v>515.04511882113</v>
      </c>
      <c r="AP3">
        <f t="shared" si="4"/>
        <v>0.0326908363445674</v>
      </c>
      <c r="AQ3" s="12">
        <v>92.5758848526514</v>
      </c>
      <c r="AR3">
        <f t="shared" si="5"/>
        <v>0.0191907423426394</v>
      </c>
      <c r="AS3" s="12">
        <v>0.745738191733299</v>
      </c>
      <c r="AT3">
        <f t="shared" si="6"/>
        <v>0.0771975833984718</v>
      </c>
      <c r="AV3" s="12">
        <v>0.712593104445191</v>
      </c>
    </row>
    <row r="4" spans="1:48">
      <c r="A4" s="1">
        <v>60</v>
      </c>
      <c r="B4" s="1">
        <v>11.4</v>
      </c>
      <c r="C4" s="1">
        <v>0.078</v>
      </c>
      <c r="D4" s="1">
        <v>1</v>
      </c>
      <c r="E4" s="2">
        <v>0</v>
      </c>
      <c r="F4" s="1">
        <v>20</v>
      </c>
      <c r="G4" s="3">
        <v>0.868253123396246</v>
      </c>
      <c r="H4" s="4">
        <v>20.2</v>
      </c>
      <c r="I4" s="1">
        <v>11.6</v>
      </c>
      <c r="J4" s="7">
        <v>572.248471317186</v>
      </c>
      <c r="K4" s="8">
        <v>102.631355487139</v>
      </c>
      <c r="L4" s="9">
        <v>0.807086049420278</v>
      </c>
      <c r="N4" t="s">
        <v>30</v>
      </c>
      <c r="O4">
        <v>11.3893</v>
      </c>
      <c r="P4">
        <f t="shared" si="0"/>
        <v>0.0181637931034482</v>
      </c>
      <c r="Q4" s="12">
        <v>504.3723</v>
      </c>
      <c r="R4">
        <f t="shared" si="1"/>
        <v>0.118613110771533</v>
      </c>
      <c r="S4" s="12"/>
      <c r="T4" s="12" t="s">
        <v>30</v>
      </c>
      <c r="U4" s="12">
        <v>504.3723</v>
      </c>
      <c r="V4" s="12"/>
      <c r="W4" s="12"/>
      <c r="X4" s="12"/>
      <c r="Y4" s="12"/>
      <c r="Z4" s="12">
        <v>9.92497176818783</v>
      </c>
      <c r="AA4">
        <f t="shared" si="2"/>
        <v>0.144398985501049</v>
      </c>
      <c r="AM4" s="12">
        <v>11.1086992117861</v>
      </c>
      <c r="AN4">
        <f t="shared" si="3"/>
        <v>0.042353516225335</v>
      </c>
      <c r="AO4" s="12">
        <v>573.514559735355</v>
      </c>
      <c r="AP4">
        <f t="shared" si="4"/>
        <v>0.00221248021030972</v>
      </c>
      <c r="AQ4" s="12">
        <v>102.160672957869</v>
      </c>
      <c r="AR4">
        <f t="shared" si="5"/>
        <v>0.00458614745012062</v>
      </c>
      <c r="AS4" s="12">
        <v>0.811224839661064</v>
      </c>
      <c r="AT4">
        <f t="shared" si="6"/>
        <v>0.00512806564276424</v>
      </c>
      <c r="AV4" s="12">
        <v>0.700021085297182</v>
      </c>
    </row>
    <row r="5" spans="1:48">
      <c r="A5" s="1">
        <v>55</v>
      </c>
      <c r="B5" s="1">
        <v>10.6</v>
      </c>
      <c r="C5" s="1">
        <v>0.078</v>
      </c>
      <c r="D5" s="1">
        <v>1</v>
      </c>
      <c r="E5" s="2">
        <v>0</v>
      </c>
      <c r="F5" s="1">
        <v>20</v>
      </c>
      <c r="G5" s="3">
        <v>0.89760467536325</v>
      </c>
      <c r="H5" s="4">
        <v>20.2</v>
      </c>
      <c r="I5" s="1">
        <v>8.3</v>
      </c>
      <c r="J5" s="7">
        <v>412.966831857297</v>
      </c>
      <c r="K5" s="8">
        <v>78.7115156247025</v>
      </c>
      <c r="L5" s="9">
        <v>0.759834768992101</v>
      </c>
      <c r="N5" t="s">
        <v>31</v>
      </c>
      <c r="O5">
        <v>8.7923</v>
      </c>
      <c r="P5">
        <f t="shared" si="0"/>
        <v>0.059313253012048</v>
      </c>
      <c r="Q5" s="12">
        <v>382.1456</v>
      </c>
      <c r="R5">
        <f t="shared" si="1"/>
        <v>0.0746336738925983</v>
      </c>
      <c r="S5" s="12"/>
      <c r="T5" s="12" t="s">
        <v>31</v>
      </c>
      <c r="U5" s="12">
        <v>382.1456</v>
      </c>
      <c r="V5" s="12"/>
      <c r="W5" s="12"/>
      <c r="X5" s="12"/>
      <c r="Y5" s="12"/>
      <c r="Z5" s="12">
        <v>7.26947927510134</v>
      </c>
      <c r="AA5">
        <f t="shared" si="2"/>
        <v>0.124159123481767</v>
      </c>
      <c r="AM5" s="12">
        <v>7.68515889577508</v>
      </c>
      <c r="AN5">
        <f t="shared" si="3"/>
        <v>0.0740772414728819</v>
      </c>
      <c r="AO5" s="12">
        <v>389.556351793704</v>
      </c>
      <c r="AP5">
        <f t="shared" si="4"/>
        <v>0.0566885237691009</v>
      </c>
      <c r="AQ5" s="12">
        <v>79.1153633865309</v>
      </c>
      <c r="AR5">
        <f t="shared" si="5"/>
        <v>0.00513073288734409</v>
      </c>
      <c r="AS5" s="12">
        <v>0.683474097517655</v>
      </c>
      <c r="AT5">
        <f t="shared" si="6"/>
        <v>0.100496416577167</v>
      </c>
      <c r="AV5" s="12">
        <v>0.683474097517655</v>
      </c>
    </row>
    <row r="6" spans="1:48">
      <c r="A6" s="1">
        <v>55</v>
      </c>
      <c r="B6" s="1">
        <v>11.4</v>
      </c>
      <c r="C6" s="1">
        <v>0.078</v>
      </c>
      <c r="D6" s="1">
        <v>1</v>
      </c>
      <c r="E6" s="2">
        <v>0</v>
      </c>
      <c r="F6" s="1">
        <v>20</v>
      </c>
      <c r="G6" s="3">
        <v>0.89760467536325</v>
      </c>
      <c r="H6" s="4">
        <v>20.2</v>
      </c>
      <c r="I6" s="1">
        <v>8.9</v>
      </c>
      <c r="J6" s="7">
        <v>443.477405460702</v>
      </c>
      <c r="K6" s="8">
        <v>85.1492657313814</v>
      </c>
      <c r="L6" s="9">
        <v>0.757598449287177</v>
      </c>
      <c r="M6" s="9"/>
      <c r="N6" t="s">
        <v>32</v>
      </c>
      <c r="O6">
        <v>8.7923</v>
      </c>
      <c r="P6">
        <f t="shared" si="0"/>
        <v>0.0121011235955058</v>
      </c>
      <c r="Q6" s="12">
        <v>382.1456</v>
      </c>
      <c r="R6">
        <f t="shared" si="1"/>
        <v>0.138297475148679</v>
      </c>
      <c r="S6" s="12"/>
      <c r="T6" s="12" t="s">
        <v>32</v>
      </c>
      <c r="U6" s="12">
        <v>382.1456</v>
      </c>
      <c r="V6" s="12"/>
      <c r="W6" s="12"/>
      <c r="X6" s="12"/>
      <c r="Y6" s="12"/>
      <c r="Z6" s="12">
        <v>8.19669557849186</v>
      </c>
      <c r="AA6">
        <f t="shared" si="2"/>
        <v>0.0790229687087799</v>
      </c>
      <c r="AM6" s="12">
        <v>8.48591315629827</v>
      </c>
      <c r="AN6">
        <f t="shared" si="3"/>
        <v>0.0465266116518796</v>
      </c>
      <c r="AO6" s="12">
        <v>429.89203128182</v>
      </c>
      <c r="AP6">
        <f t="shared" si="4"/>
        <v>0.030633745962253</v>
      </c>
      <c r="AQ6" s="12">
        <v>87.4893046265401</v>
      </c>
      <c r="AR6">
        <f t="shared" si="5"/>
        <v>0.0274816097949775</v>
      </c>
      <c r="AS6" s="12">
        <v>0.713862617365557</v>
      </c>
      <c r="AT6">
        <f t="shared" si="6"/>
        <v>0.0577295689593494</v>
      </c>
      <c r="AV6" s="12">
        <v>0.674163548119816</v>
      </c>
    </row>
    <row r="7" spans="1:48">
      <c r="A7" s="1">
        <v>50</v>
      </c>
      <c r="B7" s="1">
        <v>10.6</v>
      </c>
      <c r="C7" s="1">
        <v>0.078</v>
      </c>
      <c r="D7" s="1">
        <v>1</v>
      </c>
      <c r="E7" s="2">
        <v>0</v>
      </c>
      <c r="F7" s="1">
        <v>20</v>
      </c>
      <c r="G7" s="3">
        <v>0.920818198615511</v>
      </c>
      <c r="H7" s="4">
        <v>20.2</v>
      </c>
      <c r="I7" s="1">
        <v>6.3</v>
      </c>
      <c r="J7" s="7">
        <v>315.210849421476</v>
      </c>
      <c r="K7" s="8">
        <v>66.1424606897823</v>
      </c>
      <c r="L7" s="9">
        <v>0.709077648115318</v>
      </c>
      <c r="N7" t="s">
        <v>33</v>
      </c>
      <c r="O7">
        <v>7.2106</v>
      </c>
      <c r="P7">
        <f t="shared" si="0"/>
        <v>0.144539682539683</v>
      </c>
      <c r="Q7" s="12">
        <v>293.2538</v>
      </c>
      <c r="R7">
        <f t="shared" si="1"/>
        <v>0.0696582920980511</v>
      </c>
      <c r="S7" s="12"/>
      <c r="T7" s="12" t="s">
        <v>33</v>
      </c>
      <c r="U7" s="12">
        <v>293.2538</v>
      </c>
      <c r="V7" s="12"/>
      <c r="W7" s="12"/>
      <c r="X7" s="12"/>
      <c r="Y7" s="12"/>
      <c r="Z7" s="12">
        <v>5.86687737966338</v>
      </c>
      <c r="AA7">
        <f t="shared" si="2"/>
        <v>0.0687496222756544</v>
      </c>
      <c r="AM7" s="12">
        <v>5.34637326046859</v>
      </c>
      <c r="AN7">
        <f t="shared" si="3"/>
        <v>0.151369323735145</v>
      </c>
      <c r="AO7" s="12">
        <v>291.653743581113</v>
      </c>
      <c r="AP7">
        <f t="shared" si="4"/>
        <v>0.0747344384991773</v>
      </c>
      <c r="AQ7" s="12">
        <v>67.4785696530139</v>
      </c>
      <c r="AR7">
        <f t="shared" si="5"/>
        <v>0.020200472575372</v>
      </c>
      <c r="AS7" s="12">
        <v>0.624799246547856</v>
      </c>
      <c r="AT7">
        <f t="shared" si="6"/>
        <v>0.118856378834488</v>
      </c>
      <c r="AV7" s="12">
        <v>0.634975039298057</v>
      </c>
    </row>
    <row r="8" spans="1:48">
      <c r="A8" s="1">
        <v>50</v>
      </c>
      <c r="B8" s="1">
        <v>11.4</v>
      </c>
      <c r="C8" s="1">
        <v>0.078</v>
      </c>
      <c r="D8" s="1">
        <v>1</v>
      </c>
      <c r="E8" s="2">
        <v>0</v>
      </c>
      <c r="F8" s="1">
        <v>20</v>
      </c>
      <c r="G8" s="3">
        <v>0.920818198615511</v>
      </c>
      <c r="H8" s="4">
        <v>20.2</v>
      </c>
      <c r="I8" s="1">
        <v>6.7</v>
      </c>
      <c r="J8" s="7">
        <v>337.180622550684</v>
      </c>
      <c r="K8" s="8">
        <v>70.9253575139408</v>
      </c>
      <c r="L8" s="9">
        <v>0.701190632984767</v>
      </c>
      <c r="N8" t="s">
        <v>34</v>
      </c>
      <c r="O8">
        <v>7.2106</v>
      </c>
      <c r="P8">
        <f t="shared" si="0"/>
        <v>0.0762089552238806</v>
      </c>
      <c r="Q8" s="12">
        <v>293.2538</v>
      </c>
      <c r="R8">
        <f t="shared" si="1"/>
        <v>0.130276829725234</v>
      </c>
      <c r="S8" s="12"/>
      <c r="T8" s="12" t="s">
        <v>34</v>
      </c>
      <c r="U8" s="12">
        <v>293.2538</v>
      </c>
      <c r="V8" s="12"/>
      <c r="W8" s="12"/>
      <c r="X8" s="12"/>
      <c r="Y8" s="12"/>
      <c r="Z8" s="12">
        <v>6.78358527602812</v>
      </c>
      <c r="AA8">
        <f t="shared" si="2"/>
        <v>0.0124754143325548</v>
      </c>
      <c r="AM8" s="12">
        <v>6.09607082477096</v>
      </c>
      <c r="AN8">
        <f t="shared" si="3"/>
        <v>0.0901386828700061</v>
      </c>
      <c r="AO8" s="12">
        <v>315.274343194758</v>
      </c>
      <c r="AP8">
        <f t="shared" si="4"/>
        <v>0.0649689747596129</v>
      </c>
      <c r="AQ8" s="12">
        <v>74.7556613397996</v>
      </c>
      <c r="AR8">
        <f t="shared" si="5"/>
        <v>0.0540047165092669</v>
      </c>
      <c r="AS8" s="12">
        <v>0.654205814016845</v>
      </c>
      <c r="AT8">
        <f t="shared" si="6"/>
        <v>0.0670071971268656</v>
      </c>
      <c r="AV8" s="12">
        <v>0.627731443566917</v>
      </c>
    </row>
    <row r="9" spans="1:48">
      <c r="A9" s="1">
        <v>65</v>
      </c>
      <c r="B9" s="1">
        <v>10.6</v>
      </c>
      <c r="C9" s="1">
        <v>0.03</v>
      </c>
      <c r="D9" s="1">
        <v>1</v>
      </c>
      <c r="E9" s="2">
        <v>0</v>
      </c>
      <c r="F9" s="1">
        <v>20</v>
      </c>
      <c r="G9" s="3">
        <v>0.831152647810126</v>
      </c>
      <c r="H9" s="4">
        <v>20.2</v>
      </c>
      <c r="I9" s="1">
        <v>23.7</v>
      </c>
      <c r="J9" s="7">
        <v>564.295506494152</v>
      </c>
      <c r="K9" s="8">
        <v>129.007190743913</v>
      </c>
      <c r="L9" s="9">
        <v>0.560105597641702</v>
      </c>
      <c r="N9" t="s">
        <v>35</v>
      </c>
      <c r="O9">
        <v>23.7697</v>
      </c>
      <c r="P9">
        <f t="shared" si="0"/>
        <v>0.00294092827004224</v>
      </c>
      <c r="Q9" s="12">
        <v>573.3996</v>
      </c>
      <c r="R9">
        <f t="shared" si="1"/>
        <v>0.0161335566225039</v>
      </c>
      <c r="S9" s="12"/>
      <c r="T9" s="12" t="s">
        <v>35</v>
      </c>
      <c r="U9" s="12">
        <v>573.3996</v>
      </c>
      <c r="V9" s="12"/>
      <c r="W9" s="12"/>
      <c r="X9" s="12"/>
      <c r="Y9" s="12"/>
      <c r="Z9" s="12">
        <v>27.450694813648</v>
      </c>
      <c r="AA9">
        <f t="shared" si="2"/>
        <v>0.158257165132825</v>
      </c>
      <c r="AM9" s="12">
        <v>27.0148259041453</v>
      </c>
      <c r="AN9">
        <f t="shared" si="3"/>
        <v>0.139866071904867</v>
      </c>
      <c r="AO9" s="12">
        <v>651.275491756896</v>
      </c>
      <c r="AP9">
        <f t="shared" si="4"/>
        <v>0.154139071216662</v>
      </c>
      <c r="AQ9" s="12">
        <v>145.338297660555</v>
      </c>
      <c r="AR9">
        <f t="shared" si="5"/>
        <v>0.126590671593337</v>
      </c>
      <c r="AS9" s="12">
        <v>0.699349949611637</v>
      </c>
      <c r="AT9">
        <f t="shared" si="6"/>
        <v>0.248603750000387</v>
      </c>
      <c r="AV9" s="12">
        <v>0.699349949611637</v>
      </c>
    </row>
    <row r="10" spans="1:48">
      <c r="A10" s="1">
        <v>65</v>
      </c>
      <c r="B10" s="1">
        <v>11.4</v>
      </c>
      <c r="C10" s="1">
        <v>0.03</v>
      </c>
      <c r="D10" s="1">
        <v>1</v>
      </c>
      <c r="E10" s="2">
        <v>0</v>
      </c>
      <c r="F10" s="1">
        <v>20</v>
      </c>
      <c r="G10" s="3">
        <v>0.831152647810126</v>
      </c>
      <c r="H10" s="4">
        <v>20.2</v>
      </c>
      <c r="I10" s="1">
        <v>24.5</v>
      </c>
      <c r="J10" s="7">
        <v>597.842804172844</v>
      </c>
      <c r="K10" s="8">
        <v>139.316889004314</v>
      </c>
      <c r="L10" s="9">
        <v>0.538388210350038</v>
      </c>
      <c r="N10" t="s">
        <v>36</v>
      </c>
      <c r="O10">
        <v>23.7697</v>
      </c>
      <c r="P10">
        <f t="shared" si="0"/>
        <v>0.0298081632653061</v>
      </c>
      <c r="Q10" s="12">
        <v>573.3996</v>
      </c>
      <c r="R10">
        <f t="shared" si="1"/>
        <v>0.0408856709526894</v>
      </c>
      <c r="S10" s="12"/>
      <c r="T10" s="12" t="s">
        <v>36</v>
      </c>
      <c r="U10" s="12">
        <v>573.3996</v>
      </c>
      <c r="V10" s="12"/>
      <c r="W10" s="12"/>
      <c r="X10" s="12"/>
      <c r="Y10" s="12"/>
      <c r="Z10" s="12">
        <v>29.2887874149624</v>
      </c>
      <c r="AA10">
        <f t="shared" si="2"/>
        <v>0.195460710814791</v>
      </c>
      <c r="AM10" s="12">
        <v>28.3228665443536</v>
      </c>
      <c r="AN10">
        <f t="shared" si="3"/>
        <v>0.156035369157289</v>
      </c>
      <c r="AO10" s="12">
        <v>724.850539913686</v>
      </c>
      <c r="AP10">
        <f t="shared" si="4"/>
        <v>0.212443362794281</v>
      </c>
      <c r="AQ10" s="12">
        <v>163.449310961535</v>
      </c>
      <c r="AR10">
        <f t="shared" si="5"/>
        <v>0.173219644292186</v>
      </c>
      <c r="AS10" s="12">
        <v>0.683618367381394</v>
      </c>
      <c r="AT10">
        <f t="shared" si="6"/>
        <v>0.269749883521657</v>
      </c>
      <c r="AV10" s="12">
        <v>0.683618367381394</v>
      </c>
    </row>
    <row r="11" spans="1:48">
      <c r="A11" s="1">
        <v>60</v>
      </c>
      <c r="B11" s="1">
        <v>10.6</v>
      </c>
      <c r="C11" s="1">
        <v>0.03</v>
      </c>
      <c r="D11" s="1">
        <v>1</v>
      </c>
      <c r="E11" s="2">
        <v>0</v>
      </c>
      <c r="F11" s="1">
        <v>20</v>
      </c>
      <c r="G11" s="3">
        <v>0.868253123396246</v>
      </c>
      <c r="H11" s="4">
        <v>20.2</v>
      </c>
      <c r="I11" s="1">
        <v>19.8</v>
      </c>
      <c r="J11" s="7">
        <v>456.982650413483</v>
      </c>
      <c r="K11" s="8">
        <v>109.001414723316</v>
      </c>
      <c r="L11" s="9">
        <v>0.56983057605008</v>
      </c>
      <c r="N11" t="s">
        <v>37</v>
      </c>
      <c r="O11">
        <v>20.6226</v>
      </c>
      <c r="P11">
        <f t="shared" si="0"/>
        <v>0.0415454545454544</v>
      </c>
      <c r="Q11" s="12">
        <v>480.5028</v>
      </c>
      <c r="R11">
        <f t="shared" si="1"/>
        <v>0.0514683644231038</v>
      </c>
      <c r="S11" s="12"/>
      <c r="T11" s="12" t="s">
        <v>37</v>
      </c>
      <c r="U11" s="12">
        <v>480.5028</v>
      </c>
      <c r="V11" s="12"/>
      <c r="W11" s="12"/>
      <c r="X11" s="12"/>
      <c r="Y11" s="12"/>
      <c r="Z11" s="12">
        <v>22.2652701848434</v>
      </c>
      <c r="AA11">
        <f t="shared" si="2"/>
        <v>0.12450859519411</v>
      </c>
      <c r="AM11" s="12">
        <v>22.0586390381093</v>
      </c>
      <c r="AN11">
        <f t="shared" si="3"/>
        <v>0.114072678692388</v>
      </c>
      <c r="AO11" s="12">
        <v>502.052321539748</v>
      </c>
      <c r="AP11">
        <f t="shared" si="4"/>
        <v>0.0986244687527757</v>
      </c>
      <c r="AQ11" s="12">
        <v>121.73943818488</v>
      </c>
      <c r="AR11">
        <f t="shared" si="5"/>
        <v>0.116861083811593</v>
      </c>
      <c r="AS11" s="12">
        <v>0.671138860646423</v>
      </c>
      <c r="AT11">
        <f t="shared" si="6"/>
        <v>0.177786677048091</v>
      </c>
      <c r="AV11" s="12">
        <v>0.671138860646423</v>
      </c>
    </row>
    <row r="12" spans="1:48">
      <c r="A12" s="1">
        <v>60</v>
      </c>
      <c r="B12" s="1">
        <v>11.4</v>
      </c>
      <c r="C12" s="1">
        <v>0.03</v>
      </c>
      <c r="D12" s="1">
        <v>1</v>
      </c>
      <c r="E12" s="2">
        <v>0</v>
      </c>
      <c r="F12" s="1">
        <v>20</v>
      </c>
      <c r="G12" s="3">
        <v>0.868253123396246</v>
      </c>
      <c r="H12" s="4">
        <v>20.2</v>
      </c>
      <c r="I12" s="1">
        <v>20.8</v>
      </c>
      <c r="J12" s="7">
        <v>486.935971317186</v>
      </c>
      <c r="K12" s="8">
        <v>119.550428237253</v>
      </c>
      <c r="L12" s="9">
        <v>0.556611068565709</v>
      </c>
      <c r="N12" t="s">
        <v>38</v>
      </c>
      <c r="O12">
        <v>20.6226</v>
      </c>
      <c r="P12">
        <f t="shared" si="0"/>
        <v>0.00852884615384626</v>
      </c>
      <c r="Q12" s="12">
        <v>480.5028</v>
      </c>
      <c r="R12">
        <f t="shared" si="1"/>
        <v>0.0132115343620722</v>
      </c>
      <c r="S12" s="12"/>
      <c r="T12" s="12" t="s">
        <v>38</v>
      </c>
      <c r="U12" s="12">
        <v>480.5028</v>
      </c>
      <c r="V12" s="12"/>
      <c r="W12" s="12"/>
      <c r="X12" s="12"/>
      <c r="Y12" s="12"/>
      <c r="Z12" s="12">
        <v>23.923920754958</v>
      </c>
      <c r="AA12">
        <f t="shared" si="2"/>
        <v>0.150188497834521</v>
      </c>
      <c r="AM12" s="12">
        <v>23.2763891836837</v>
      </c>
      <c r="AN12">
        <f t="shared" si="3"/>
        <v>0.119057172292483</v>
      </c>
      <c r="AO12" s="12">
        <v>559.301009720268</v>
      </c>
      <c r="AP12">
        <f t="shared" si="4"/>
        <v>0.148613047024091</v>
      </c>
      <c r="AQ12" s="12">
        <v>137.05931159598</v>
      </c>
      <c r="AR12">
        <f t="shared" si="5"/>
        <v>0.146456048856466</v>
      </c>
      <c r="AS12" s="12">
        <v>0.660010183696625</v>
      </c>
      <c r="AT12">
        <f t="shared" si="6"/>
        <v>0.185765467074446</v>
      </c>
      <c r="AV12" s="12">
        <v>0.660010183696625</v>
      </c>
    </row>
    <row r="13" spans="1:48">
      <c r="A13" s="1">
        <v>55</v>
      </c>
      <c r="B13" s="1">
        <v>10.6</v>
      </c>
      <c r="C13" s="1">
        <v>0.03</v>
      </c>
      <c r="D13" s="1">
        <v>1</v>
      </c>
      <c r="E13" s="2">
        <v>0</v>
      </c>
      <c r="F13" s="1">
        <v>20</v>
      </c>
      <c r="G13" s="3">
        <v>0.89760467536325</v>
      </c>
      <c r="H13" s="4">
        <v>20.2</v>
      </c>
      <c r="I13" s="1">
        <v>16</v>
      </c>
      <c r="J13" s="7">
        <v>362.107456857297</v>
      </c>
      <c r="K13" s="8">
        <v>90.6979339516883</v>
      </c>
      <c r="L13" s="9">
        <v>0.563362201291641</v>
      </c>
      <c r="N13" t="s">
        <v>39</v>
      </c>
      <c r="O13">
        <v>16.7998</v>
      </c>
      <c r="P13">
        <f t="shared" si="0"/>
        <v>0.0499875000000001</v>
      </c>
      <c r="Q13" s="12">
        <v>364.0313</v>
      </c>
      <c r="R13">
        <f t="shared" si="1"/>
        <v>0.00531290672498125</v>
      </c>
      <c r="S13" s="12"/>
      <c r="T13" s="12" t="s">
        <v>39</v>
      </c>
      <c r="U13" s="12">
        <v>364.0313</v>
      </c>
      <c r="V13" s="12"/>
      <c r="W13" s="12"/>
      <c r="X13" s="12"/>
      <c r="Y13" s="12"/>
      <c r="Z13" s="12">
        <v>18.0394814658443</v>
      </c>
      <c r="AA13">
        <f t="shared" si="2"/>
        <v>0.127467591615272</v>
      </c>
      <c r="AM13" s="12">
        <v>17.5320201638099</v>
      </c>
      <c r="AN13">
        <f t="shared" si="3"/>
        <v>0.0957512602381165</v>
      </c>
      <c r="AO13" s="12">
        <v>378.637739034991</v>
      </c>
      <c r="AP13">
        <f t="shared" si="4"/>
        <v>0.045650212014851</v>
      </c>
      <c r="AQ13" s="12">
        <v>101.856265912709</v>
      </c>
      <c r="AR13">
        <f t="shared" si="5"/>
        <v>0.123027410601925</v>
      </c>
      <c r="AS13" s="12">
        <v>0.624153326756236</v>
      </c>
      <c r="AT13">
        <f t="shared" si="6"/>
        <v>0.107907710750236</v>
      </c>
      <c r="AV13" s="12">
        <v>0.641352210812296</v>
      </c>
    </row>
    <row r="14" spans="1:48">
      <c r="A14" s="1">
        <v>55</v>
      </c>
      <c r="B14" s="1">
        <v>11.4</v>
      </c>
      <c r="C14" s="1">
        <v>0.03</v>
      </c>
      <c r="D14" s="1">
        <v>1</v>
      </c>
      <c r="E14" s="2">
        <v>0</v>
      </c>
      <c r="F14" s="1">
        <v>20</v>
      </c>
      <c r="G14" s="3">
        <v>0.89760467536325</v>
      </c>
      <c r="H14" s="4">
        <v>20.2</v>
      </c>
      <c r="I14" s="1">
        <v>17</v>
      </c>
      <c r="J14" s="7">
        <v>387.513863794035</v>
      </c>
      <c r="K14" s="8">
        <v>100.144068024767</v>
      </c>
      <c r="L14" s="9">
        <v>0.556576215984529</v>
      </c>
      <c r="N14" t="s">
        <v>40</v>
      </c>
      <c r="O14">
        <v>16.7998</v>
      </c>
      <c r="P14">
        <f t="shared" si="0"/>
        <v>0.0117764705882352</v>
      </c>
      <c r="Q14" s="12">
        <v>364.0313</v>
      </c>
      <c r="R14">
        <f t="shared" si="1"/>
        <v>0.0605979965829457</v>
      </c>
      <c r="S14" s="12"/>
      <c r="T14" s="12" t="s">
        <v>40</v>
      </c>
      <c r="U14" s="12">
        <v>364.0313</v>
      </c>
      <c r="V14" s="12"/>
      <c r="W14" s="12"/>
      <c r="X14" s="12"/>
      <c r="Y14" s="12"/>
      <c r="Z14" s="12">
        <v>19.5479832852051</v>
      </c>
      <c r="AA14">
        <f t="shared" si="2"/>
        <v>0.149881369717944</v>
      </c>
      <c r="AM14" s="12">
        <v>18.666219600755</v>
      </c>
      <c r="AN14">
        <f t="shared" si="3"/>
        <v>0.0980129176914718</v>
      </c>
      <c r="AO14" s="12">
        <v>417.411432454347</v>
      </c>
      <c r="AP14">
        <f t="shared" si="4"/>
        <v>0.0771522555802095</v>
      </c>
      <c r="AQ14" s="12">
        <v>114.769972445596</v>
      </c>
      <c r="AR14">
        <f t="shared" si="5"/>
        <v>0.146048634824903</v>
      </c>
      <c r="AS14" s="12">
        <v>0.664691328640615</v>
      </c>
      <c r="AT14">
        <f t="shared" si="6"/>
        <v>0.19425032825889</v>
      </c>
      <c r="AV14" s="12">
        <v>0.633404467254909</v>
      </c>
    </row>
    <row r="15" spans="1:48">
      <c r="A15" s="1">
        <v>50</v>
      </c>
      <c r="B15" s="1">
        <v>10.6</v>
      </c>
      <c r="C15" s="1">
        <v>0.03</v>
      </c>
      <c r="D15" s="1">
        <v>1</v>
      </c>
      <c r="E15" s="2">
        <v>0</v>
      </c>
      <c r="F15" s="1">
        <v>20</v>
      </c>
      <c r="G15" s="3">
        <v>0.920818198615511</v>
      </c>
      <c r="H15" s="4">
        <v>20.2</v>
      </c>
      <c r="I15" s="1">
        <v>12.5</v>
      </c>
      <c r="J15" s="7">
        <v>279.846266088142</v>
      </c>
      <c r="K15" s="8">
        <v>74.8327602542569</v>
      </c>
      <c r="L15" s="9">
        <v>0.541115421333423</v>
      </c>
      <c r="N15" t="s">
        <v>41</v>
      </c>
      <c r="O15">
        <v>13.4961</v>
      </c>
      <c r="P15">
        <f t="shared" si="0"/>
        <v>0.079688</v>
      </c>
      <c r="Q15" s="12">
        <v>264.9478</v>
      </c>
      <c r="R15">
        <f t="shared" si="1"/>
        <v>0.0532380377855373</v>
      </c>
      <c r="S15" s="12"/>
      <c r="T15" s="12" t="s">
        <v>41</v>
      </c>
      <c r="U15" s="12">
        <v>264.9478</v>
      </c>
      <c r="V15" s="12"/>
      <c r="W15" s="12"/>
      <c r="X15" s="12"/>
      <c r="Y15" s="12"/>
      <c r="Z15" s="12">
        <v>14.5844318646339</v>
      </c>
      <c r="AA15">
        <f t="shared" si="2"/>
        <v>0.166754549170713</v>
      </c>
      <c r="AM15" s="12">
        <v>13.3910224301089</v>
      </c>
      <c r="AN15">
        <f t="shared" si="3"/>
        <v>0.0712817944087088</v>
      </c>
      <c r="AO15" s="12">
        <v>282.913161381327</v>
      </c>
      <c r="AP15">
        <f t="shared" si="4"/>
        <v>0.0109592146290047</v>
      </c>
      <c r="AQ15" s="12">
        <v>85.1529453320468</v>
      </c>
      <c r="AR15">
        <f t="shared" si="5"/>
        <v>0.137909988121851</v>
      </c>
      <c r="AS15" s="12">
        <v>0.579663185509654</v>
      </c>
      <c r="AT15">
        <f t="shared" si="6"/>
        <v>0.0712376004388133</v>
      </c>
      <c r="AV15" s="12">
        <v>0.592075569600269</v>
      </c>
    </row>
    <row r="16" spans="1:48">
      <c r="A16" s="1">
        <v>50</v>
      </c>
      <c r="B16" s="1">
        <v>11.4</v>
      </c>
      <c r="C16" s="1">
        <v>0.03</v>
      </c>
      <c r="D16" s="1">
        <v>1</v>
      </c>
      <c r="E16" s="2">
        <v>0</v>
      </c>
      <c r="F16" s="1">
        <v>20</v>
      </c>
      <c r="G16" s="3">
        <v>0.920818198615511</v>
      </c>
      <c r="H16" s="4">
        <v>20.2</v>
      </c>
      <c r="I16" s="1">
        <v>13.5</v>
      </c>
      <c r="J16" s="7">
        <v>301.451455884017</v>
      </c>
      <c r="K16" s="8">
        <v>83.456222480869</v>
      </c>
      <c r="L16" s="9">
        <v>0.543402614540434</v>
      </c>
      <c r="N16" t="s">
        <v>42</v>
      </c>
      <c r="O16">
        <v>13.4961</v>
      </c>
      <c r="P16">
        <f t="shared" si="0"/>
        <v>0.000288888888888874</v>
      </c>
      <c r="Q16" s="12">
        <v>264.9478</v>
      </c>
      <c r="R16">
        <f t="shared" si="1"/>
        <v>0.121092982539987</v>
      </c>
      <c r="S16" s="12"/>
      <c r="T16" s="12" t="s">
        <v>42</v>
      </c>
      <c r="U16" s="12">
        <v>264.9478</v>
      </c>
      <c r="V16" s="12"/>
      <c r="W16" s="12"/>
      <c r="X16" s="12"/>
      <c r="Y16" s="12"/>
      <c r="Z16" s="12">
        <v>15.9759898090244</v>
      </c>
      <c r="AA16">
        <f t="shared" si="2"/>
        <v>0.183406652520324</v>
      </c>
      <c r="AM16" s="12">
        <v>14.4487751169169</v>
      </c>
      <c r="AN16">
        <f t="shared" si="3"/>
        <v>0.0702796382901397</v>
      </c>
      <c r="AO16" s="12">
        <v>304.946357774407</v>
      </c>
      <c r="AP16">
        <f t="shared" si="4"/>
        <v>0.0115935810631295</v>
      </c>
      <c r="AQ16" s="12">
        <v>96.0042574547414</v>
      </c>
      <c r="AR16">
        <f t="shared" si="5"/>
        <v>0.150354696161198</v>
      </c>
      <c r="AS16" s="12">
        <v>0.586114786232669</v>
      </c>
      <c r="AT16">
        <f t="shared" si="6"/>
        <v>0.0786013363744249</v>
      </c>
      <c r="AV16" s="12">
        <v>0.586114786232669</v>
      </c>
    </row>
    <row r="17" spans="1:48">
      <c r="A17" s="1">
        <v>65</v>
      </c>
      <c r="B17" s="1">
        <v>10.6</v>
      </c>
      <c r="C17" s="1">
        <v>0.126</v>
      </c>
      <c r="D17" s="1">
        <v>1</v>
      </c>
      <c r="E17" s="2">
        <v>0</v>
      </c>
      <c r="F17" s="1">
        <v>20</v>
      </c>
      <c r="G17" s="3">
        <v>0.831152647810126</v>
      </c>
      <c r="H17" s="4">
        <v>20.2</v>
      </c>
      <c r="I17" s="1">
        <v>8.1</v>
      </c>
      <c r="J17" s="7">
        <v>658.358006494151</v>
      </c>
      <c r="K17" s="8">
        <v>96.4355278465578</v>
      </c>
      <c r="L17" s="9">
        <v>0.80399968066543</v>
      </c>
      <c r="N17" t="s">
        <v>43</v>
      </c>
      <c r="O17">
        <v>9.3516</v>
      </c>
      <c r="P17">
        <f t="shared" si="0"/>
        <v>0.154518518518518</v>
      </c>
      <c r="Q17" s="12">
        <v>626.4863</v>
      </c>
      <c r="R17">
        <f t="shared" si="1"/>
        <v>0.0484109043708184</v>
      </c>
      <c r="S17" s="12"/>
      <c r="T17" s="12" t="s">
        <v>43</v>
      </c>
      <c r="U17" s="12">
        <v>626.4863</v>
      </c>
      <c r="V17" s="12"/>
      <c r="W17" s="12"/>
      <c r="X17" s="12"/>
      <c r="Y17" s="12"/>
      <c r="Z17" s="12">
        <v>8.46666256644669</v>
      </c>
      <c r="AA17">
        <f t="shared" si="2"/>
        <v>0.0452669835119369</v>
      </c>
      <c r="AM17" s="12">
        <v>6.84924881086145</v>
      </c>
      <c r="AN17">
        <f t="shared" si="3"/>
        <v>0.154413727054142</v>
      </c>
      <c r="AO17" s="12">
        <v>680.497605523777</v>
      </c>
      <c r="AP17">
        <f t="shared" si="4"/>
        <v>0.0336285103412394</v>
      </c>
      <c r="AQ17" s="12">
        <v>96.4799476455525</v>
      </c>
      <c r="AR17">
        <f t="shared" si="5"/>
        <v>0.000460616538184258</v>
      </c>
      <c r="AS17" s="12">
        <v>0.903437034529372</v>
      </c>
      <c r="AT17">
        <f t="shared" si="6"/>
        <v>0.12367834994865</v>
      </c>
      <c r="AV17" s="12">
        <v>0.781072033530989</v>
      </c>
    </row>
    <row r="18" spans="1:48">
      <c r="A18" s="1">
        <v>65</v>
      </c>
      <c r="B18" s="1">
        <v>11.4</v>
      </c>
      <c r="C18" s="1">
        <v>0.126</v>
      </c>
      <c r="D18" s="1">
        <v>1</v>
      </c>
      <c r="E18" s="2">
        <v>0</v>
      </c>
      <c r="F18" s="1">
        <v>20</v>
      </c>
      <c r="G18" s="3">
        <v>0.831152647810126</v>
      </c>
      <c r="H18" s="4">
        <v>20.2</v>
      </c>
      <c r="I18" s="1">
        <v>8.6</v>
      </c>
      <c r="J18" s="7">
        <v>703.754262506177</v>
      </c>
      <c r="K18" s="8">
        <v>103.160955277057</v>
      </c>
      <c r="L18" s="9">
        <v>0.793738047258913</v>
      </c>
      <c r="N18" t="s">
        <v>44</v>
      </c>
      <c r="O18">
        <v>9.3516</v>
      </c>
      <c r="P18">
        <f t="shared" si="0"/>
        <v>0.0873953488372093</v>
      </c>
      <c r="Q18" s="12">
        <v>626.4863</v>
      </c>
      <c r="R18">
        <f t="shared" si="1"/>
        <v>0.109793953120815</v>
      </c>
      <c r="S18" s="12"/>
      <c r="T18" s="12" t="s">
        <v>44</v>
      </c>
      <c r="U18" s="12">
        <v>626.4863</v>
      </c>
      <c r="V18" s="12"/>
      <c r="W18" s="12"/>
      <c r="X18" s="12"/>
      <c r="Y18" s="12"/>
      <c r="Z18" s="12">
        <v>9.27900048264633</v>
      </c>
      <c r="AA18">
        <f t="shared" si="2"/>
        <v>0.0789535444937595</v>
      </c>
      <c r="AM18" s="12">
        <v>7.48772087505214</v>
      </c>
      <c r="AN18">
        <f t="shared" si="3"/>
        <v>0.129334781970682</v>
      </c>
      <c r="AO18" s="12">
        <v>755.141852989825</v>
      </c>
      <c r="AP18">
        <f t="shared" si="4"/>
        <v>0.0730192244955626</v>
      </c>
      <c r="AQ18" s="12">
        <v>104.658749352245</v>
      </c>
      <c r="AR18">
        <f t="shared" si="5"/>
        <v>0.0145190016044896</v>
      </c>
      <c r="AS18" s="12">
        <v>0.762360201312165</v>
      </c>
      <c r="AT18">
        <f t="shared" si="6"/>
        <v>0.0395317397913686</v>
      </c>
      <c r="AV18" s="12">
        <v>0.762360201312165</v>
      </c>
    </row>
    <row r="19" spans="1:48">
      <c r="A19" s="1">
        <v>60</v>
      </c>
      <c r="B19" s="1">
        <v>10.6</v>
      </c>
      <c r="C19" s="1">
        <v>0.126</v>
      </c>
      <c r="D19" s="1">
        <v>1</v>
      </c>
      <c r="E19" s="2">
        <v>0</v>
      </c>
      <c r="F19" s="1">
        <v>20</v>
      </c>
      <c r="G19" s="3">
        <v>0.868253123396246</v>
      </c>
      <c r="H19" s="4">
        <v>20.2</v>
      </c>
      <c r="I19" s="1">
        <v>6.3</v>
      </c>
      <c r="J19" s="7">
        <v>517.685775413483</v>
      </c>
      <c r="K19" s="8">
        <v>81.666431469216</v>
      </c>
      <c r="L19" s="9">
        <v>0.76150086072147</v>
      </c>
      <c r="N19" t="s">
        <v>45</v>
      </c>
      <c r="O19">
        <v>7.7694</v>
      </c>
      <c r="P19">
        <f t="shared" si="0"/>
        <v>0.233238095238095</v>
      </c>
      <c r="Q19" s="12">
        <v>504.3723</v>
      </c>
      <c r="R19">
        <f t="shared" si="1"/>
        <v>0.0257172903830502</v>
      </c>
      <c r="S19" s="12"/>
      <c r="T19" s="12" t="s">
        <v>45</v>
      </c>
      <c r="U19" s="12">
        <v>504.3723</v>
      </c>
      <c r="V19" s="12"/>
      <c r="W19" s="12"/>
      <c r="X19" s="12"/>
      <c r="Y19" s="12"/>
      <c r="Z19" s="12">
        <v>6.87744188300828</v>
      </c>
      <c r="AA19">
        <f t="shared" si="2"/>
        <v>0.0916574417473462</v>
      </c>
      <c r="AM19" s="12">
        <v>5.53453732434108</v>
      </c>
      <c r="AN19">
        <f t="shared" si="3"/>
        <v>0.121502012009352</v>
      </c>
      <c r="AO19" s="12">
        <v>528.202161555749</v>
      </c>
      <c r="AP19">
        <f t="shared" si="4"/>
        <v>0.0203142265863234</v>
      </c>
      <c r="AQ19" s="12">
        <v>84.1557280700616</v>
      </c>
      <c r="AR19">
        <f t="shared" si="5"/>
        <v>0.0304812706526052</v>
      </c>
      <c r="AS19" s="12">
        <v>0.794763411456949</v>
      </c>
      <c r="AT19">
        <f t="shared" si="6"/>
        <v>0.043680253629609</v>
      </c>
      <c r="AV19" s="12">
        <v>0.753953904762493</v>
      </c>
    </row>
    <row r="20" spans="1:48">
      <c r="A20" s="1">
        <v>60</v>
      </c>
      <c r="B20" s="1">
        <v>11.4</v>
      </c>
      <c r="C20" s="1">
        <v>0.126</v>
      </c>
      <c r="D20" s="1">
        <v>1</v>
      </c>
      <c r="E20" s="2">
        <v>0</v>
      </c>
      <c r="F20" s="1">
        <v>20</v>
      </c>
      <c r="G20" s="3">
        <v>0.868253123396246</v>
      </c>
      <c r="H20" s="4">
        <v>20.2</v>
      </c>
      <c r="I20" s="1">
        <v>6.7</v>
      </c>
      <c r="J20" s="7">
        <v>553.837012983853</v>
      </c>
      <c r="K20" s="8">
        <v>87.2954793742222</v>
      </c>
      <c r="L20" s="9">
        <v>0.753030551415339</v>
      </c>
      <c r="N20" t="s">
        <v>46</v>
      </c>
      <c r="O20">
        <v>7.7694</v>
      </c>
      <c r="P20">
        <f t="shared" si="0"/>
        <v>0.159611940298507</v>
      </c>
      <c r="Q20" s="12">
        <v>504.3723</v>
      </c>
      <c r="R20">
        <f t="shared" si="1"/>
        <v>0.0893127613796645</v>
      </c>
      <c r="S20" s="12"/>
      <c r="T20" s="12" t="s">
        <v>46</v>
      </c>
      <c r="U20" s="12">
        <v>504.3723</v>
      </c>
      <c r="V20" s="12"/>
      <c r="W20" s="12"/>
      <c r="X20" s="12"/>
      <c r="Y20" s="12"/>
      <c r="Z20" s="12">
        <v>7.695148433461</v>
      </c>
      <c r="AA20">
        <f t="shared" si="2"/>
        <v>0.148529616934478</v>
      </c>
      <c r="AM20" s="12">
        <v>6.13163995460795</v>
      </c>
      <c r="AN20">
        <f t="shared" si="3"/>
        <v>0.0848298575212017</v>
      </c>
      <c r="AO20" s="12">
        <v>587.842848951101</v>
      </c>
      <c r="AP20">
        <f t="shared" si="4"/>
        <v>0.0614004394253786</v>
      </c>
      <c r="AQ20" s="12">
        <v>91.6694730663927</v>
      </c>
      <c r="AR20">
        <f t="shared" si="5"/>
        <v>0.0501056151306518</v>
      </c>
      <c r="AS20" s="12">
        <v>0.858505322848233</v>
      </c>
      <c r="AT20">
        <f t="shared" si="6"/>
        <v>0.140067054696057</v>
      </c>
      <c r="AV20" s="12">
        <v>0.739898389014386</v>
      </c>
    </row>
    <row r="21" spans="1:48">
      <c r="A21" s="1">
        <v>55</v>
      </c>
      <c r="B21" s="1">
        <v>10.6</v>
      </c>
      <c r="C21" s="1">
        <v>0.126</v>
      </c>
      <c r="D21" s="1">
        <v>1</v>
      </c>
      <c r="E21" s="2">
        <v>0</v>
      </c>
      <c r="F21" s="1">
        <v>20</v>
      </c>
      <c r="G21" s="3">
        <v>0.89760467536325</v>
      </c>
      <c r="H21" s="4">
        <v>20.2</v>
      </c>
      <c r="I21" s="1">
        <v>4.9</v>
      </c>
      <c r="J21" s="7">
        <v>403.852248523964</v>
      </c>
      <c r="K21" s="8">
        <v>69.8474407173814</v>
      </c>
      <c r="L21" s="9">
        <v>0.724624631411373</v>
      </c>
      <c r="N21" t="s">
        <v>47</v>
      </c>
      <c r="O21">
        <v>6.1522</v>
      </c>
      <c r="P21">
        <f t="shared" si="0"/>
        <v>0.255551020408163</v>
      </c>
      <c r="Q21" s="12">
        <v>380.6251</v>
      </c>
      <c r="R21">
        <f t="shared" si="1"/>
        <v>0.0575139759871506</v>
      </c>
      <c r="S21" s="12"/>
      <c r="T21" s="12" t="s">
        <v>47</v>
      </c>
      <c r="U21" s="12">
        <v>380.6251</v>
      </c>
      <c r="V21" s="12"/>
      <c r="W21" s="12"/>
      <c r="X21" s="12"/>
      <c r="Y21" s="12"/>
      <c r="Z21" s="12">
        <v>5.58722922094639</v>
      </c>
      <c r="AA21">
        <f t="shared" si="2"/>
        <v>0.14025086141763</v>
      </c>
      <c r="AM21" s="12">
        <v>4.33898005799798</v>
      </c>
      <c r="AN21">
        <f t="shared" si="3"/>
        <v>0.114493865714698</v>
      </c>
      <c r="AO21" s="12">
        <v>400.680027071755</v>
      </c>
      <c r="AP21">
        <f t="shared" si="4"/>
        <v>0.00785490600536103</v>
      </c>
      <c r="AQ21" s="12">
        <v>73.0976070930146</v>
      </c>
      <c r="AR21">
        <f t="shared" si="5"/>
        <v>0.0465323617050496</v>
      </c>
      <c r="AS21" s="12">
        <v>0.722366267130833</v>
      </c>
      <c r="AT21">
        <f t="shared" si="6"/>
        <v>0.00311659883289048</v>
      </c>
      <c r="AV21" s="12">
        <v>0.725502248776902</v>
      </c>
    </row>
    <row r="22" spans="1:48">
      <c r="A22" s="1">
        <v>55</v>
      </c>
      <c r="B22" s="1">
        <v>11.4</v>
      </c>
      <c r="C22" s="1">
        <v>0.126</v>
      </c>
      <c r="D22" s="1">
        <v>1</v>
      </c>
      <c r="E22" s="2">
        <v>0</v>
      </c>
      <c r="F22" s="1">
        <v>20</v>
      </c>
      <c r="G22" s="3">
        <v>0.89760467536325</v>
      </c>
      <c r="H22" s="4">
        <v>20.2</v>
      </c>
      <c r="I22" s="1">
        <v>5.3</v>
      </c>
      <c r="J22" s="7">
        <v>435.456572127368</v>
      </c>
      <c r="K22" s="8">
        <v>75.3190214611788</v>
      </c>
      <c r="L22" s="9">
        <v>0.728787445165625</v>
      </c>
      <c r="N22" t="s">
        <v>48</v>
      </c>
      <c r="O22">
        <v>6.1522</v>
      </c>
      <c r="P22">
        <f t="shared" si="0"/>
        <v>0.160792452830189</v>
      </c>
      <c r="Q22" s="12">
        <v>380.6251</v>
      </c>
      <c r="R22">
        <f t="shared" si="1"/>
        <v>0.125917199640588</v>
      </c>
      <c r="S22" s="12"/>
      <c r="T22" s="12" t="s">
        <v>48</v>
      </c>
      <c r="U22" s="12">
        <v>380.6251</v>
      </c>
      <c r="V22" s="12"/>
      <c r="W22" s="12"/>
      <c r="X22" s="12"/>
      <c r="Y22" s="12"/>
      <c r="Z22" s="12">
        <v>6.40586679460057</v>
      </c>
      <c r="AA22">
        <f t="shared" si="2"/>
        <v>0.208654112188787</v>
      </c>
      <c r="AM22" s="12">
        <v>4.90149037772435</v>
      </c>
      <c r="AN22">
        <f t="shared" si="3"/>
        <v>0.0751904947689905</v>
      </c>
      <c r="AO22" s="12">
        <v>442.556195330772</v>
      </c>
      <c r="AP22">
        <f t="shared" si="4"/>
        <v>0.016303860494561</v>
      </c>
      <c r="AQ22" s="12">
        <v>79.9202330429221</v>
      </c>
      <c r="AR22">
        <f t="shared" si="5"/>
        <v>0.0610896356920254</v>
      </c>
      <c r="AS22" s="12">
        <v>0.763039026209263</v>
      </c>
      <c r="AT22">
        <f t="shared" si="6"/>
        <v>0.0469980393746405</v>
      </c>
      <c r="AV22" s="12">
        <v>0.71478872087815</v>
      </c>
    </row>
    <row r="23" spans="1:48">
      <c r="A23" s="1">
        <v>50</v>
      </c>
      <c r="B23" s="1">
        <v>10.6</v>
      </c>
      <c r="C23" s="1">
        <v>0.126</v>
      </c>
      <c r="D23" s="1">
        <v>1</v>
      </c>
      <c r="E23" s="2">
        <v>0</v>
      </c>
      <c r="F23" s="1">
        <v>20</v>
      </c>
      <c r="G23" s="3">
        <v>0.920818198615511</v>
      </c>
      <c r="H23" s="4">
        <v>20.2</v>
      </c>
      <c r="I23" s="1">
        <v>4.2</v>
      </c>
      <c r="J23" s="7">
        <v>326.695224421476</v>
      </c>
      <c r="K23" s="8">
        <v>64.0176224047686</v>
      </c>
      <c r="L23" s="9">
        <v>0.763622082585727</v>
      </c>
      <c r="N23" t="s">
        <v>49</v>
      </c>
      <c r="O23">
        <v>4.9861</v>
      </c>
      <c r="P23">
        <f t="shared" si="0"/>
        <v>0.187166666666667</v>
      </c>
      <c r="Q23" s="12">
        <v>293.0764</v>
      </c>
      <c r="R23">
        <f t="shared" si="1"/>
        <v>0.10290577243977</v>
      </c>
      <c r="S23" s="12"/>
      <c r="T23" s="12" t="s">
        <v>49</v>
      </c>
      <c r="U23" s="12">
        <v>293.0764</v>
      </c>
      <c r="V23" s="12"/>
      <c r="W23" s="12"/>
      <c r="X23" s="12"/>
      <c r="Y23" s="12"/>
      <c r="Z23" s="12">
        <v>4.52233623866435</v>
      </c>
      <c r="AA23">
        <f t="shared" si="2"/>
        <v>0.076746723491511</v>
      </c>
      <c r="AM23" s="12">
        <v>4.22283285206682</v>
      </c>
      <c r="AN23">
        <f t="shared" si="3"/>
        <v>0.00543639334924285</v>
      </c>
      <c r="AO23" s="12">
        <v>300.603920229687</v>
      </c>
      <c r="AP23">
        <f t="shared" si="4"/>
        <v>0.0798643574848459</v>
      </c>
      <c r="AQ23" s="12">
        <v>63.2596294225798</v>
      </c>
      <c r="AR23">
        <f t="shared" si="5"/>
        <v>0.011840380097158</v>
      </c>
      <c r="AS23" s="12">
        <v>0.670067518636935</v>
      </c>
      <c r="AT23">
        <f t="shared" si="6"/>
        <v>0.122514220165037</v>
      </c>
      <c r="AV23" s="12">
        <v>0.677782955948882</v>
      </c>
    </row>
    <row r="24" spans="1:48">
      <c r="A24" s="1">
        <v>50</v>
      </c>
      <c r="B24" s="1">
        <v>11.4</v>
      </c>
      <c r="C24" s="1">
        <v>0.126</v>
      </c>
      <c r="D24" s="1">
        <v>1</v>
      </c>
      <c r="E24" s="2">
        <v>0</v>
      </c>
      <c r="F24" s="1">
        <v>20</v>
      </c>
      <c r="G24" s="3">
        <v>0.920818198615511</v>
      </c>
      <c r="H24" s="4">
        <v>20.2</v>
      </c>
      <c r="I24" s="1">
        <v>4.3</v>
      </c>
      <c r="J24" s="7">
        <v>343.013955884017</v>
      </c>
      <c r="K24" s="8">
        <v>66.6846203071063</v>
      </c>
      <c r="L24" s="9">
        <v>0.726951942118536</v>
      </c>
      <c r="N24" t="s">
        <v>50</v>
      </c>
      <c r="O24">
        <v>4.9861</v>
      </c>
      <c r="P24">
        <f t="shared" si="0"/>
        <v>0.159558139534884</v>
      </c>
      <c r="Q24" s="12">
        <v>293.0764</v>
      </c>
      <c r="R24">
        <f t="shared" si="1"/>
        <v>0.145584618431392</v>
      </c>
      <c r="S24" s="12"/>
      <c r="T24" s="12" t="s">
        <v>50</v>
      </c>
      <c r="U24" s="12">
        <v>293.0764</v>
      </c>
      <c r="V24" s="12"/>
      <c r="W24" s="12"/>
      <c r="X24" s="12"/>
      <c r="Y24" s="12"/>
      <c r="Z24" s="12">
        <v>5.34921186606632</v>
      </c>
      <c r="AA24">
        <f t="shared" si="2"/>
        <v>0.244002759550307</v>
      </c>
      <c r="AM24" s="12">
        <v>3.75703816789387</v>
      </c>
      <c r="AN24">
        <f t="shared" si="3"/>
        <v>0.126270193513053</v>
      </c>
      <c r="AO24" s="12">
        <v>325.815570633237</v>
      </c>
      <c r="AP24">
        <f t="shared" si="4"/>
        <v>0.0501390248290531</v>
      </c>
      <c r="AQ24" s="12">
        <v>69.3886705618262</v>
      </c>
      <c r="AR24">
        <f t="shared" si="5"/>
        <v>0.0405498335638236</v>
      </c>
      <c r="AS24" s="12">
        <v>0.701295765998074</v>
      </c>
      <c r="AT24">
        <f t="shared" si="6"/>
        <v>0.0352928091032989</v>
      </c>
      <c r="AV24" s="12">
        <v>0.669215882263625</v>
      </c>
    </row>
    <row r="25" spans="1:48">
      <c r="A25" s="1">
        <v>65</v>
      </c>
      <c r="B25" s="1">
        <v>10.6</v>
      </c>
      <c r="C25" s="1">
        <v>0.174</v>
      </c>
      <c r="D25" s="1">
        <v>1</v>
      </c>
      <c r="E25" s="2">
        <v>0</v>
      </c>
      <c r="F25" s="1">
        <v>20</v>
      </c>
      <c r="G25" s="3">
        <v>0.831152647810126</v>
      </c>
      <c r="H25" s="4">
        <v>20.2</v>
      </c>
      <c r="I25" s="1">
        <v>5.6</v>
      </c>
      <c r="J25" s="7">
        <v>644.321548160818</v>
      </c>
      <c r="K25" s="8">
        <v>89.441663370097</v>
      </c>
      <c r="L25" s="9">
        <v>0.76760463339251</v>
      </c>
      <c r="N25" t="s">
        <v>51</v>
      </c>
      <c r="O25">
        <v>7.8212</v>
      </c>
      <c r="P25">
        <f t="shared" si="0"/>
        <v>0.396642857142857</v>
      </c>
      <c r="Q25" s="12">
        <v>625.0015</v>
      </c>
      <c r="R25">
        <f t="shared" si="1"/>
        <v>0.0299851032702012</v>
      </c>
      <c r="S25" s="12"/>
      <c r="T25" s="12" t="s">
        <v>51</v>
      </c>
      <c r="U25" s="12">
        <v>625.0015</v>
      </c>
      <c r="V25" s="12"/>
      <c r="W25" s="12"/>
      <c r="X25" s="12"/>
      <c r="Y25" s="12"/>
      <c r="Z25" s="12">
        <v>8.08820238448004</v>
      </c>
      <c r="AA25">
        <f t="shared" si="2"/>
        <v>0.444321854371436</v>
      </c>
      <c r="AM25" s="12">
        <v>6.07662255283597</v>
      </c>
      <c r="AN25">
        <f t="shared" si="3"/>
        <v>0.08511117014928</v>
      </c>
      <c r="AO25" s="12">
        <v>695.228609255292</v>
      </c>
      <c r="AP25">
        <f t="shared" si="4"/>
        <v>0.0790087825555192</v>
      </c>
      <c r="AQ25" s="12">
        <v>96.7630471020857</v>
      </c>
      <c r="AR25">
        <f t="shared" si="5"/>
        <v>0.0818565247573033</v>
      </c>
      <c r="AS25" s="12">
        <v>0.821775050507059</v>
      </c>
      <c r="AT25">
        <f t="shared" si="6"/>
        <v>0.070570727113954</v>
      </c>
      <c r="AV25" s="12">
        <v>0.821775050507059</v>
      </c>
    </row>
    <row r="26" spans="1:48">
      <c r="A26" s="1">
        <v>65</v>
      </c>
      <c r="B26" s="1">
        <v>11.4</v>
      </c>
      <c r="C26" s="1">
        <v>0.174</v>
      </c>
      <c r="D26" s="1">
        <v>1</v>
      </c>
      <c r="E26" s="2">
        <v>0</v>
      </c>
      <c r="F26" s="1">
        <v>20</v>
      </c>
      <c r="G26" s="3">
        <v>0.831152647810126</v>
      </c>
      <c r="H26" s="4">
        <v>20.2</v>
      </c>
      <c r="I26" s="1">
        <v>5.7</v>
      </c>
      <c r="J26" s="7">
        <v>675.863637506177</v>
      </c>
      <c r="K26" s="8">
        <v>93.0525833494109</v>
      </c>
      <c r="L26" s="9">
        <v>0.726494458537643</v>
      </c>
      <c r="N26" t="s">
        <v>52</v>
      </c>
      <c r="O26">
        <v>7.8212</v>
      </c>
      <c r="P26">
        <f t="shared" si="0"/>
        <v>0.372140350877193</v>
      </c>
      <c r="Q26" s="12">
        <v>625.0015</v>
      </c>
      <c r="R26">
        <f t="shared" si="1"/>
        <v>0.0752550288011496</v>
      </c>
      <c r="S26" s="12"/>
      <c r="T26" s="12" t="s">
        <v>52</v>
      </c>
      <c r="U26" s="12">
        <v>625.0015</v>
      </c>
      <c r="V26" s="12"/>
      <c r="W26" s="12"/>
      <c r="X26" s="12"/>
      <c r="Y26" s="12"/>
      <c r="Z26" s="12">
        <v>8.85952819225995</v>
      </c>
      <c r="AA26">
        <f t="shared" si="2"/>
        <v>0.554303191624553</v>
      </c>
      <c r="AM26" s="12">
        <v>6.517874997245</v>
      </c>
      <c r="AN26">
        <f t="shared" si="3"/>
        <v>0.143486841621929</v>
      </c>
      <c r="AO26" s="12">
        <v>770.302557586888</v>
      </c>
      <c r="AP26">
        <f t="shared" si="4"/>
        <v>0.139730730934386</v>
      </c>
      <c r="AQ26" s="12">
        <v>104.296259145434</v>
      </c>
      <c r="AR26">
        <f t="shared" si="5"/>
        <v>0.120831420163836</v>
      </c>
      <c r="AS26" s="12">
        <v>0.8015155719814</v>
      </c>
      <c r="AT26">
        <f t="shared" si="6"/>
        <v>0.103264536380314</v>
      </c>
      <c r="AV26" s="12">
        <v>0.8015155719814</v>
      </c>
    </row>
    <row r="27" spans="1:48">
      <c r="A27" s="1">
        <v>60</v>
      </c>
      <c r="B27" s="1">
        <v>10.6</v>
      </c>
      <c r="C27" s="1">
        <v>0.174</v>
      </c>
      <c r="D27" s="1">
        <v>1</v>
      </c>
      <c r="E27" s="2">
        <v>0</v>
      </c>
      <c r="F27" s="1">
        <v>20</v>
      </c>
      <c r="G27" s="3">
        <v>0.868253123396246</v>
      </c>
      <c r="H27" s="4">
        <v>20.2</v>
      </c>
      <c r="I27" s="1">
        <v>4.4</v>
      </c>
      <c r="J27" s="7">
        <v>509.118067080149</v>
      </c>
      <c r="K27" s="8">
        <v>76.7959624160953</v>
      </c>
      <c r="L27" s="9">
        <v>0.734448298020103</v>
      </c>
      <c r="N27" t="s">
        <v>53</v>
      </c>
      <c r="O27">
        <v>6.5741</v>
      </c>
      <c r="P27">
        <f t="shared" si="0"/>
        <v>0.494113636363636</v>
      </c>
      <c r="Q27" s="12">
        <v>502.4611</v>
      </c>
      <c r="R27">
        <f t="shared" si="1"/>
        <v>0.0130754878103766</v>
      </c>
      <c r="S27" s="12"/>
      <c r="T27" s="12" t="s">
        <v>53</v>
      </c>
      <c r="U27" s="12">
        <v>502.4611</v>
      </c>
      <c r="V27" s="12"/>
      <c r="W27" s="12"/>
      <c r="X27" s="12"/>
      <c r="Y27" s="12"/>
      <c r="Z27" s="12">
        <v>6.58364516981058</v>
      </c>
      <c r="AA27">
        <f t="shared" si="2"/>
        <v>0.496282993138769</v>
      </c>
      <c r="AM27" s="12">
        <v>4.74458839633567</v>
      </c>
      <c r="AN27">
        <f t="shared" si="3"/>
        <v>0.0783155446217432</v>
      </c>
      <c r="AO27" s="12">
        <v>541.517899880438</v>
      </c>
      <c r="AP27">
        <f t="shared" si="4"/>
        <v>0.0636391338184195</v>
      </c>
      <c r="AQ27" s="12">
        <v>85.3003587484986</v>
      </c>
      <c r="AR27">
        <f t="shared" si="5"/>
        <v>0.11074014915426</v>
      </c>
      <c r="AS27" s="12">
        <v>0.84374161796092</v>
      </c>
      <c r="AT27">
        <f t="shared" si="6"/>
        <v>0.148810093556545</v>
      </c>
      <c r="AV27" s="12">
        <v>0.795203890036586</v>
      </c>
    </row>
    <row r="28" spans="1:48">
      <c r="A28" s="1">
        <v>60</v>
      </c>
      <c r="B28" s="1">
        <v>11.4</v>
      </c>
      <c r="C28" s="1">
        <v>0.174</v>
      </c>
      <c r="D28" s="1">
        <v>1</v>
      </c>
      <c r="E28" s="2">
        <v>0</v>
      </c>
      <c r="F28" s="1">
        <v>20</v>
      </c>
      <c r="G28" s="3">
        <v>0.868253123396246</v>
      </c>
      <c r="H28" s="4">
        <v>20.2</v>
      </c>
      <c r="I28" s="1">
        <v>4.6</v>
      </c>
      <c r="J28" s="7">
        <v>540.529721317186</v>
      </c>
      <c r="K28" s="8">
        <v>81.0565946226724</v>
      </c>
      <c r="L28" s="9">
        <v>0.71396073602563</v>
      </c>
      <c r="N28" t="s">
        <v>54</v>
      </c>
      <c r="O28">
        <v>6.5741</v>
      </c>
      <c r="P28">
        <f t="shared" si="0"/>
        <v>0.429152173913043</v>
      </c>
      <c r="Q28" s="12">
        <v>502.4611</v>
      </c>
      <c r="R28">
        <f t="shared" si="1"/>
        <v>0.0704283591000673</v>
      </c>
      <c r="S28" s="12"/>
      <c r="T28" s="12" t="s">
        <v>54</v>
      </c>
      <c r="U28" s="12">
        <v>502.4611</v>
      </c>
      <c r="V28" s="12"/>
      <c r="W28" s="12"/>
      <c r="X28" s="12"/>
      <c r="Y28" s="12"/>
      <c r="Z28" s="12">
        <v>7.36619238255894</v>
      </c>
      <c r="AA28">
        <f t="shared" si="2"/>
        <v>0.601346170121508</v>
      </c>
      <c r="AM28" s="12">
        <v>5.16482690124594</v>
      </c>
      <c r="AN28">
        <f t="shared" si="3"/>
        <v>0.122788456792596</v>
      </c>
      <c r="AO28" s="12">
        <v>602.278042454986</v>
      </c>
      <c r="AP28">
        <f t="shared" si="4"/>
        <v>0.114236680616432</v>
      </c>
      <c r="AQ28" s="12">
        <v>92.4271302823787</v>
      </c>
      <c r="AR28">
        <f t="shared" si="5"/>
        <v>0.140278970670276</v>
      </c>
      <c r="AS28" s="12">
        <v>0.905690579535313</v>
      </c>
      <c r="AT28">
        <f t="shared" si="6"/>
        <v>0.268543960242094</v>
      </c>
      <c r="AV28" s="12">
        <v>0.779627036994426</v>
      </c>
    </row>
    <row r="29" spans="1:48">
      <c r="A29" s="1">
        <v>55</v>
      </c>
      <c r="B29" s="1">
        <v>10.6</v>
      </c>
      <c r="C29" s="1">
        <v>0.174</v>
      </c>
      <c r="D29" s="1">
        <v>1</v>
      </c>
      <c r="E29" s="2">
        <v>0</v>
      </c>
      <c r="F29" s="1">
        <v>20</v>
      </c>
      <c r="G29" s="3">
        <v>0.89760467536325</v>
      </c>
      <c r="H29" s="4">
        <v>20.2</v>
      </c>
      <c r="I29" s="1">
        <v>3.4</v>
      </c>
      <c r="J29" s="7">
        <v>396.013706857297</v>
      </c>
      <c r="K29" s="8">
        <v>65.8357222097117</v>
      </c>
      <c r="L29" s="9">
        <v>0.694343913091947</v>
      </c>
      <c r="N29" t="s">
        <v>55</v>
      </c>
      <c r="O29">
        <v>5.0736</v>
      </c>
      <c r="P29">
        <f t="shared" si="0"/>
        <v>0.492235294117647</v>
      </c>
      <c r="Q29" s="12">
        <v>375.9309</v>
      </c>
      <c r="R29">
        <f t="shared" si="1"/>
        <v>0.050712403408132</v>
      </c>
      <c r="S29" s="12"/>
      <c r="T29" s="12" t="s">
        <v>55</v>
      </c>
      <c r="U29" s="12">
        <v>375.9309</v>
      </c>
      <c r="V29" s="12"/>
      <c r="W29" s="12"/>
      <c r="X29" s="12"/>
      <c r="Y29" s="12"/>
      <c r="Z29" s="12">
        <v>5.3641940813997</v>
      </c>
      <c r="AA29">
        <f t="shared" si="2"/>
        <v>0.577704141588148</v>
      </c>
      <c r="AM29" s="12">
        <v>4.40865801880783</v>
      </c>
      <c r="AN29">
        <f t="shared" si="3"/>
        <v>0.296664123178774</v>
      </c>
      <c r="AO29" s="12">
        <v>412.006746025806</v>
      </c>
      <c r="AP29">
        <f t="shared" si="4"/>
        <v>0.040385064687349</v>
      </c>
      <c r="AQ29" s="12">
        <v>74.777478269923</v>
      </c>
      <c r="AR29">
        <f t="shared" si="5"/>
        <v>0.135819214251624</v>
      </c>
      <c r="AS29" s="12">
        <v>0.871543879410076</v>
      </c>
      <c r="AT29">
        <f t="shared" si="6"/>
        <v>0.255204896272582</v>
      </c>
      <c r="AV29" s="12">
        <v>0.767418953992002</v>
      </c>
    </row>
    <row r="30" spans="1:48">
      <c r="A30" s="1">
        <v>55</v>
      </c>
      <c r="B30" s="1">
        <v>11.4</v>
      </c>
      <c r="C30" s="1">
        <v>0.174</v>
      </c>
      <c r="D30" s="1">
        <v>1</v>
      </c>
      <c r="E30" s="2">
        <v>0</v>
      </c>
      <c r="F30" s="1">
        <v>20</v>
      </c>
      <c r="G30" s="3">
        <v>0.89760467536325</v>
      </c>
      <c r="H30" s="4">
        <v>20.2</v>
      </c>
      <c r="I30" s="1">
        <v>3.7</v>
      </c>
      <c r="J30" s="7">
        <v>428.164905460702</v>
      </c>
      <c r="K30" s="8">
        <v>70.9721376615273</v>
      </c>
      <c r="L30" s="9">
        <v>0.702595623236941</v>
      </c>
      <c r="N30" t="s">
        <v>56</v>
      </c>
      <c r="O30">
        <v>5.0736</v>
      </c>
      <c r="P30">
        <f t="shared" si="0"/>
        <v>0.371243243243243</v>
      </c>
      <c r="Q30" s="12">
        <v>375.9309</v>
      </c>
      <c r="R30">
        <f t="shared" si="1"/>
        <v>0.121995064972685</v>
      </c>
      <c r="S30" s="12"/>
      <c r="T30" s="12" t="s">
        <v>56</v>
      </c>
      <c r="U30" s="12">
        <v>375.9309</v>
      </c>
      <c r="V30" s="12"/>
      <c r="W30" s="12"/>
      <c r="X30" s="12"/>
      <c r="Y30" s="12"/>
      <c r="Z30" s="12">
        <v>6.1516681382423</v>
      </c>
      <c r="AA30">
        <f t="shared" si="2"/>
        <v>0.662613010335756</v>
      </c>
      <c r="AM30" s="12">
        <v>4.81324098873958</v>
      </c>
      <c r="AN30">
        <f t="shared" si="3"/>
        <v>0.300875942902589</v>
      </c>
      <c r="AO30" s="12">
        <v>455.399309940835</v>
      </c>
      <c r="AP30">
        <f t="shared" si="4"/>
        <v>0.0636072787208691</v>
      </c>
      <c r="AQ30" s="12">
        <v>81.4052480764127</v>
      </c>
      <c r="AR30">
        <f t="shared" si="5"/>
        <v>0.147002905064546</v>
      </c>
      <c r="AS30" s="12">
        <v>0.812213700222814</v>
      </c>
      <c r="AT30">
        <f t="shared" si="6"/>
        <v>0.156018730206217</v>
      </c>
      <c r="AV30" s="12">
        <v>0.755264496067515</v>
      </c>
    </row>
    <row r="31" spans="1:48">
      <c r="A31" s="1">
        <v>50</v>
      </c>
      <c r="B31" s="1">
        <v>10.6</v>
      </c>
      <c r="C31" s="1">
        <v>0.174</v>
      </c>
      <c r="D31" s="1">
        <v>1</v>
      </c>
      <c r="E31" s="2">
        <v>0</v>
      </c>
      <c r="F31" s="1">
        <v>20</v>
      </c>
      <c r="G31" s="3">
        <v>0.920818198615511</v>
      </c>
      <c r="H31" s="4">
        <v>20.2</v>
      </c>
      <c r="I31" s="1">
        <v>2.8</v>
      </c>
      <c r="J31" s="7">
        <v>313.934807754809</v>
      </c>
      <c r="K31" s="8">
        <v>58.9446435814898</v>
      </c>
      <c r="L31" s="9">
        <v>0.703017155396384</v>
      </c>
      <c r="N31" t="s">
        <v>57</v>
      </c>
      <c r="O31">
        <v>4.105</v>
      </c>
      <c r="P31">
        <f t="shared" si="0"/>
        <v>0.466071428571429</v>
      </c>
      <c r="Q31" s="12">
        <v>293.7054</v>
      </c>
      <c r="R31">
        <f t="shared" si="1"/>
        <v>0.0644382440401725</v>
      </c>
      <c r="S31" s="12"/>
      <c r="T31" s="12" t="s">
        <v>57</v>
      </c>
      <c r="U31" s="12">
        <v>293.7054</v>
      </c>
      <c r="V31" s="12"/>
      <c r="W31" s="12"/>
      <c r="X31" s="12"/>
      <c r="Y31" s="12"/>
      <c r="Z31" s="12">
        <v>4.35735127040621</v>
      </c>
      <c r="AA31">
        <f t="shared" si="2"/>
        <v>0.556196882287934</v>
      </c>
      <c r="AM31" s="12">
        <v>3.0384165904755</v>
      </c>
      <c r="AN31">
        <f t="shared" si="3"/>
        <v>0.0851487823126786</v>
      </c>
      <c r="AO31" s="12">
        <v>309.764572180717</v>
      </c>
      <c r="AP31">
        <f t="shared" si="4"/>
        <v>0.0132837629695035</v>
      </c>
      <c r="AQ31" s="12">
        <v>65.2333039810353</v>
      </c>
      <c r="AR31">
        <f t="shared" si="5"/>
        <v>0.10668756340602</v>
      </c>
      <c r="AS31" s="12">
        <v>0.715463295670496</v>
      </c>
      <c r="AT31">
        <f t="shared" si="6"/>
        <v>0.0177038926839478</v>
      </c>
      <c r="AV31" s="12">
        <v>0.720481215113295</v>
      </c>
    </row>
    <row r="32" spans="1:48">
      <c r="A32" s="1">
        <v>50</v>
      </c>
      <c r="B32" s="1">
        <v>11.4</v>
      </c>
      <c r="C32" s="1">
        <v>0.174</v>
      </c>
      <c r="D32" s="1">
        <v>1</v>
      </c>
      <c r="E32" s="2">
        <v>0</v>
      </c>
      <c r="F32" s="1">
        <v>20</v>
      </c>
      <c r="G32" s="3">
        <v>0.920818198615511</v>
      </c>
      <c r="H32" s="4">
        <v>20.2</v>
      </c>
      <c r="I32" s="1">
        <v>2.9</v>
      </c>
      <c r="J32" s="7">
        <v>331.711872550684</v>
      </c>
      <c r="K32" s="8">
        <v>61.7872774535821</v>
      </c>
      <c r="L32" s="9">
        <v>0.677039405671859</v>
      </c>
      <c r="N32" t="s">
        <v>58</v>
      </c>
      <c r="O32">
        <v>4.105</v>
      </c>
      <c r="P32">
        <f t="shared" si="0"/>
        <v>0.415517241379311</v>
      </c>
      <c r="Q32" s="12">
        <v>293.7054</v>
      </c>
      <c r="R32">
        <f t="shared" si="1"/>
        <v>0.11457676283467</v>
      </c>
      <c r="S32" s="12"/>
      <c r="T32" s="12" t="s">
        <v>58</v>
      </c>
      <c r="U32" s="12">
        <v>293.7054</v>
      </c>
      <c r="V32" s="12"/>
      <c r="W32" s="12"/>
      <c r="X32" s="12"/>
      <c r="Y32" s="12"/>
      <c r="Z32" s="12">
        <v>5.15678568098414</v>
      </c>
      <c r="AA32">
        <f t="shared" si="2"/>
        <v>0.77820195896005</v>
      </c>
      <c r="AM32" s="12">
        <v>3.432195580578</v>
      </c>
      <c r="AN32">
        <f t="shared" si="3"/>
        <v>0.18351571744069</v>
      </c>
      <c r="AO32" s="12">
        <v>336.56889107635</v>
      </c>
      <c r="AP32">
        <f t="shared" si="4"/>
        <v>0.0146422812313522</v>
      </c>
      <c r="AQ32" s="12">
        <v>71.3057626726786</v>
      </c>
      <c r="AR32">
        <f t="shared" si="5"/>
        <v>0.154052510668516</v>
      </c>
      <c r="AS32" s="12">
        <v>0.748470131054549</v>
      </c>
      <c r="AT32">
        <f t="shared" si="6"/>
        <v>0.105504531618518</v>
      </c>
      <c r="AV32" s="12">
        <v>0.710552123415784</v>
      </c>
    </row>
    <row r="33" spans="1:48">
      <c r="A33" s="2">
        <v>62.5</v>
      </c>
      <c r="B33" s="2">
        <v>6.7</v>
      </c>
      <c r="C33" s="2">
        <v>0.0132</v>
      </c>
      <c r="D33" s="2">
        <v>1</v>
      </c>
      <c r="E33" s="2">
        <v>1</v>
      </c>
      <c r="F33" s="2">
        <v>23</v>
      </c>
      <c r="G33" s="5">
        <v>0.850790029374404</v>
      </c>
      <c r="H33" s="6">
        <v>23.3</v>
      </c>
      <c r="I33" s="2">
        <v>34</v>
      </c>
      <c r="J33" s="6">
        <v>327.047270338134</v>
      </c>
      <c r="K33" s="10">
        <v>182.940236422474</v>
      </c>
      <c r="L33" s="11">
        <v>0.61996815202262</v>
      </c>
      <c r="N33" t="s">
        <v>59</v>
      </c>
      <c r="O33">
        <v>33.6641</v>
      </c>
      <c r="P33">
        <f t="shared" si="0"/>
        <v>0.00987941176470595</v>
      </c>
      <c r="Q33" s="12">
        <v>305.7818</v>
      </c>
      <c r="R33">
        <f t="shared" si="1"/>
        <v>0.0650226198682156</v>
      </c>
      <c r="S33" s="12"/>
      <c r="T33" s="12" t="s">
        <v>59</v>
      </c>
      <c r="U33" s="12">
        <v>305.7818</v>
      </c>
      <c r="V33" s="12"/>
      <c r="W33" s="12"/>
      <c r="X33" s="12"/>
      <c r="Y33" s="12"/>
      <c r="Z33" s="12">
        <v>32.9073731979914</v>
      </c>
      <c r="AA33">
        <f t="shared" si="2"/>
        <v>0.0321360824120188</v>
      </c>
      <c r="AM33" s="12">
        <v>29.6144067054182</v>
      </c>
      <c r="AN33">
        <f t="shared" si="3"/>
        <v>0.128988038075934</v>
      </c>
      <c r="AO33" s="12">
        <v>358.306908448229</v>
      </c>
      <c r="AP33">
        <f t="shared" si="4"/>
        <v>0.0955814065586768</v>
      </c>
      <c r="AQ33" s="12">
        <v>161.270649500251</v>
      </c>
      <c r="AR33">
        <f t="shared" si="5"/>
        <v>0.118451726891728</v>
      </c>
      <c r="AS33" s="12">
        <v>0.660505525412072</v>
      </c>
      <c r="AT33">
        <f t="shared" si="6"/>
        <v>0.0653862190456082</v>
      </c>
      <c r="AV33" s="12">
        <v>0.826293368235709</v>
      </c>
    </row>
    <row r="34" spans="1:48">
      <c r="A34" s="2">
        <v>65</v>
      </c>
      <c r="B34" s="2">
        <v>6.7</v>
      </c>
      <c r="C34" s="2">
        <v>0.0132</v>
      </c>
      <c r="D34" s="2">
        <v>1</v>
      </c>
      <c r="E34" s="2">
        <v>1</v>
      </c>
      <c r="F34" s="2">
        <v>23</v>
      </c>
      <c r="G34" s="5">
        <v>0.831152647810126</v>
      </c>
      <c r="H34" s="6">
        <v>23.4</v>
      </c>
      <c r="I34" s="2">
        <v>36.5</v>
      </c>
      <c r="J34" s="6">
        <v>360.60965094893</v>
      </c>
      <c r="K34" s="10">
        <v>185.327822644477</v>
      </c>
      <c r="L34" s="11">
        <v>0.603550241149719</v>
      </c>
      <c r="N34" t="s">
        <v>60</v>
      </c>
      <c r="O34">
        <v>37.0248</v>
      </c>
      <c r="P34">
        <f t="shared" ref="P34:P50" si="7">ABS(O34-I34)/I34</f>
        <v>0.0143780821917808</v>
      </c>
      <c r="Q34" s="12">
        <v>390.7913</v>
      </c>
      <c r="R34">
        <f t="shared" ref="R34:R50" si="8">ABS(Q34-J34)/J34</f>
        <v>0.0836961766598542</v>
      </c>
      <c r="S34" s="12"/>
      <c r="T34" s="12" t="s">
        <v>60</v>
      </c>
      <c r="U34" s="12">
        <v>390.7913</v>
      </c>
      <c r="V34" s="12"/>
      <c r="W34" s="12"/>
      <c r="X34" s="12"/>
      <c r="Y34" s="12"/>
      <c r="Z34" s="12">
        <v>36.8989293468842</v>
      </c>
      <c r="AA34">
        <f t="shared" ref="AA34:AA50" si="9">ABS(Z34-I34)/I34</f>
        <v>0.010929571147512</v>
      </c>
      <c r="AM34" s="12">
        <v>32.5110658928151</v>
      </c>
      <c r="AN34">
        <f t="shared" ref="AN34:AN50" si="10">ABS(AM34-I34)/I34</f>
        <v>0.10928586595027</v>
      </c>
      <c r="AO34" s="12">
        <v>401.827828675049</v>
      </c>
      <c r="AP34">
        <f t="shared" ref="AP34:AP50" si="11">ABS(AO34-J34)/J34</f>
        <v>0.114301371629004</v>
      </c>
      <c r="AQ34" s="12">
        <v>154.406429608967</v>
      </c>
      <c r="AR34">
        <f t="shared" ref="AR34:AR50" si="12">ABS(AQ34-K34)/K34</f>
        <v>0.166847009770508</v>
      </c>
      <c r="AS34" s="12">
        <v>0.666977495316427</v>
      </c>
      <c r="AT34">
        <f t="shared" ref="AT34:AT50" si="13">ABS(AS34-L34)/L34</f>
        <v>0.105090263978495</v>
      </c>
      <c r="AV34" s="12">
        <v>0.84258367735629</v>
      </c>
    </row>
    <row r="35" spans="1:48">
      <c r="A35" s="2">
        <v>67.5</v>
      </c>
      <c r="B35" s="2">
        <v>6.7</v>
      </c>
      <c r="C35" s="2">
        <v>0.0132</v>
      </c>
      <c r="D35" s="2">
        <v>1</v>
      </c>
      <c r="E35" s="2">
        <v>1</v>
      </c>
      <c r="F35" s="2">
        <v>23</v>
      </c>
      <c r="G35" s="5">
        <v>0.809058400419842</v>
      </c>
      <c r="H35" s="6">
        <v>23.4</v>
      </c>
      <c r="I35" s="2">
        <v>38.2</v>
      </c>
      <c r="J35" s="6">
        <v>393.271478974966</v>
      </c>
      <c r="K35" s="10">
        <v>183.760455550553</v>
      </c>
      <c r="L35" s="11">
        <v>0.573376656519633</v>
      </c>
      <c r="N35" t="s">
        <v>61</v>
      </c>
      <c r="O35">
        <v>41.3208</v>
      </c>
      <c r="P35">
        <f t="shared" si="7"/>
        <v>0.0816963350785339</v>
      </c>
      <c r="Q35" s="12">
        <v>401.7551</v>
      </c>
      <c r="R35">
        <f t="shared" si="8"/>
        <v>0.0215719203618477</v>
      </c>
      <c r="S35" s="12"/>
      <c r="T35" s="12" t="s">
        <v>61</v>
      </c>
      <c r="U35" s="12">
        <v>401.7551</v>
      </c>
      <c r="V35" s="12"/>
      <c r="W35" s="12"/>
      <c r="X35" s="12"/>
      <c r="Y35" s="12"/>
      <c r="Z35" s="12">
        <v>41.3719181139724</v>
      </c>
      <c r="AA35">
        <f t="shared" si="9"/>
        <v>0.0830345056013712</v>
      </c>
      <c r="AM35" s="12">
        <v>35.5379526444402</v>
      </c>
      <c r="AN35">
        <f t="shared" si="10"/>
        <v>0.0696871035486858</v>
      </c>
      <c r="AO35" s="12">
        <v>448.861725345593</v>
      </c>
      <c r="AP35">
        <f t="shared" si="11"/>
        <v>0.141353363624331</v>
      </c>
      <c r="AQ35" s="12">
        <v>148.656107209628</v>
      </c>
      <c r="AR35">
        <f t="shared" si="12"/>
        <v>0.19103320263193</v>
      </c>
      <c r="AS35" s="12">
        <v>0.567976167130984</v>
      </c>
      <c r="AT35">
        <f t="shared" si="13"/>
        <v>0.00941874652070718</v>
      </c>
      <c r="AV35" s="12">
        <v>0.852615977086692</v>
      </c>
    </row>
    <row r="36" spans="1:48">
      <c r="A36" s="2">
        <v>70</v>
      </c>
      <c r="B36" s="2">
        <v>6.7</v>
      </c>
      <c r="C36" s="2">
        <v>0.0132</v>
      </c>
      <c r="D36" s="2">
        <v>1</v>
      </c>
      <c r="E36" s="2">
        <v>1</v>
      </c>
      <c r="F36" s="2">
        <v>23</v>
      </c>
      <c r="G36" s="5">
        <v>0.784179277129304</v>
      </c>
      <c r="H36" s="6">
        <v>23.4</v>
      </c>
      <c r="I36" s="2">
        <v>40.6</v>
      </c>
      <c r="J36" s="6">
        <v>431.009471269594</v>
      </c>
      <c r="K36" s="10">
        <v>199.168666536768</v>
      </c>
      <c r="L36" s="11">
        <v>0.553796434935087</v>
      </c>
      <c r="N36" t="s">
        <v>62</v>
      </c>
      <c r="O36">
        <v>43.0462</v>
      </c>
      <c r="P36">
        <f t="shared" si="7"/>
        <v>0.0602512315270935</v>
      </c>
      <c r="Q36" s="12">
        <v>457.7344</v>
      </c>
      <c r="R36">
        <f t="shared" si="8"/>
        <v>0.0620054326223605</v>
      </c>
      <c r="S36" s="12"/>
      <c r="T36" s="12" t="s">
        <v>62</v>
      </c>
      <c r="U36" s="12">
        <v>457.7344</v>
      </c>
      <c r="V36" s="12"/>
      <c r="W36" s="12"/>
      <c r="X36" s="12"/>
      <c r="Y36" s="12"/>
      <c r="Z36" s="12">
        <v>46.3496579147643</v>
      </c>
      <c r="AA36">
        <f t="shared" si="9"/>
        <v>0.141617190018825</v>
      </c>
      <c r="AM36" s="12">
        <v>38.698758064294</v>
      </c>
      <c r="AN36">
        <f t="shared" si="10"/>
        <v>0.0468286191060601</v>
      </c>
      <c r="AO36" s="12">
        <v>499.512022817043</v>
      </c>
      <c r="AP36">
        <f t="shared" si="11"/>
        <v>0.158935142064664</v>
      </c>
      <c r="AQ36" s="12">
        <v>164.112901926044</v>
      </c>
      <c r="AR36">
        <f t="shared" si="12"/>
        <v>0.176010439896441</v>
      </c>
      <c r="AS36" s="12">
        <v>0.564355866705498</v>
      </c>
      <c r="AT36">
        <f t="shared" si="13"/>
        <v>0.0190673523776813</v>
      </c>
      <c r="AV36" s="12">
        <v>0.859563959535306</v>
      </c>
    </row>
    <row r="37" spans="1:48">
      <c r="A37" s="2">
        <v>45</v>
      </c>
      <c r="B37" s="2">
        <v>8.4</v>
      </c>
      <c r="C37" s="2">
        <v>0.0132</v>
      </c>
      <c r="D37" s="2">
        <v>1</v>
      </c>
      <c r="E37" s="2">
        <v>1</v>
      </c>
      <c r="F37" s="2">
        <v>23</v>
      </c>
      <c r="G37" s="5">
        <v>0.93913980595102</v>
      </c>
      <c r="H37" s="6">
        <v>23.8</v>
      </c>
      <c r="I37" s="2">
        <v>21.1</v>
      </c>
      <c r="J37" s="6">
        <v>173.833007535381</v>
      </c>
      <c r="K37" s="10">
        <v>204.745793247962</v>
      </c>
      <c r="L37" s="11">
        <v>0.630566615450303</v>
      </c>
      <c r="N37" t="s">
        <v>63</v>
      </c>
      <c r="O37">
        <v>14.8133</v>
      </c>
      <c r="P37">
        <f t="shared" si="7"/>
        <v>0.297947867298578</v>
      </c>
      <c r="Q37" s="12">
        <v>177.1666</v>
      </c>
      <c r="R37">
        <f t="shared" si="8"/>
        <v>0.0191769820466374</v>
      </c>
      <c r="S37" s="12"/>
      <c r="T37" s="12" t="s">
        <v>63</v>
      </c>
      <c r="U37" s="12">
        <v>177.1666</v>
      </c>
      <c r="V37" s="12"/>
      <c r="W37" s="12"/>
      <c r="X37" s="12"/>
      <c r="Y37" s="12"/>
      <c r="Z37" s="12">
        <v>17.2025325870993</v>
      </c>
      <c r="AA37">
        <f t="shared" si="9"/>
        <v>0.184714095398138</v>
      </c>
      <c r="AM37" s="12">
        <v>23.9763259670967</v>
      </c>
      <c r="AN37">
        <f t="shared" si="10"/>
        <v>0.136318766213114</v>
      </c>
      <c r="AO37" s="12">
        <v>181.737284081956</v>
      </c>
      <c r="AP37">
        <f t="shared" si="11"/>
        <v>0.0454705159776191</v>
      </c>
      <c r="AQ37" s="12">
        <v>74.1407756039912</v>
      </c>
      <c r="AR37">
        <f t="shared" si="12"/>
        <v>0.637888649979727</v>
      </c>
      <c r="AS37" s="12">
        <v>0.614636148027915</v>
      </c>
      <c r="AT37">
        <f t="shared" si="13"/>
        <v>0.0252637342860463</v>
      </c>
      <c r="AV37" s="12">
        <v>0.612197701024846</v>
      </c>
    </row>
    <row r="38" spans="1:48">
      <c r="A38" s="2">
        <v>47.5</v>
      </c>
      <c r="B38" s="2">
        <v>8.4</v>
      </c>
      <c r="C38" s="2">
        <v>0.0132</v>
      </c>
      <c r="D38" s="2">
        <v>1</v>
      </c>
      <c r="E38" s="2">
        <v>1</v>
      </c>
      <c r="F38" s="2">
        <v>23</v>
      </c>
      <c r="G38" s="5">
        <v>0.930523923822277</v>
      </c>
      <c r="H38" s="6">
        <v>23.8</v>
      </c>
      <c r="I38" s="2">
        <v>23.7</v>
      </c>
      <c r="J38" s="6">
        <v>200.181732743013</v>
      </c>
      <c r="K38" s="10">
        <v>250.227165928767</v>
      </c>
      <c r="L38" s="11">
        <v>0.636608168114947</v>
      </c>
      <c r="N38" t="s">
        <v>64</v>
      </c>
      <c r="O38">
        <v>17.0993</v>
      </c>
      <c r="P38">
        <f t="shared" si="7"/>
        <v>0.278510548523207</v>
      </c>
      <c r="Q38" s="12">
        <v>206.7958</v>
      </c>
      <c r="R38">
        <f t="shared" si="8"/>
        <v>0.0330403137506955</v>
      </c>
      <c r="S38" s="12"/>
      <c r="T38" s="12" t="s">
        <v>64</v>
      </c>
      <c r="U38" s="12">
        <v>206.7958</v>
      </c>
      <c r="V38" s="12"/>
      <c r="W38" s="12"/>
      <c r="X38" s="12"/>
      <c r="Y38" s="12"/>
      <c r="Z38" s="12">
        <v>19.3280256739933</v>
      </c>
      <c r="AA38">
        <f t="shared" si="9"/>
        <v>0.184471490548807</v>
      </c>
      <c r="AM38" s="12">
        <v>26.1799305127189</v>
      </c>
      <c r="AN38">
        <f t="shared" si="10"/>
        <v>0.104638418258182</v>
      </c>
      <c r="AO38" s="12">
        <v>209.512133516528</v>
      </c>
      <c r="AP38">
        <f t="shared" si="11"/>
        <v>0.0466096513686047</v>
      </c>
      <c r="AQ38" s="12">
        <v>82.754747858181</v>
      </c>
      <c r="AR38">
        <f t="shared" si="12"/>
        <v>0.669281520449546</v>
      </c>
      <c r="AS38" s="12">
        <v>0.640885235959877</v>
      </c>
      <c r="AT38">
        <f t="shared" si="13"/>
        <v>0.00671852492498535</v>
      </c>
      <c r="AV38" s="12">
        <v>0.657676661417093</v>
      </c>
    </row>
    <row r="39" spans="1:48">
      <c r="A39" s="2">
        <v>50</v>
      </c>
      <c r="B39" s="2">
        <v>8.4</v>
      </c>
      <c r="C39" s="2">
        <v>0.0132</v>
      </c>
      <c r="D39" s="2">
        <v>1</v>
      </c>
      <c r="E39" s="2">
        <v>1</v>
      </c>
      <c r="F39" s="2">
        <v>23</v>
      </c>
      <c r="G39" s="5">
        <v>0.920818198615511</v>
      </c>
      <c r="H39" s="6">
        <v>23.8</v>
      </c>
      <c r="I39" s="2">
        <v>25.9</v>
      </c>
      <c r="J39" s="6">
        <v>226.459548835616</v>
      </c>
      <c r="K39" s="10">
        <v>240.389627580406</v>
      </c>
      <c r="L39" s="11">
        <v>0.626192831788945</v>
      </c>
      <c r="N39" t="s">
        <v>65</v>
      </c>
      <c r="O39">
        <v>21.0059</v>
      </c>
      <c r="P39">
        <f t="shared" si="7"/>
        <v>0.18896138996139</v>
      </c>
      <c r="Q39" s="12">
        <v>226.285</v>
      </c>
      <c r="R39">
        <f t="shared" si="8"/>
        <v>0.000770772689928437</v>
      </c>
      <c r="S39" s="12"/>
      <c r="T39" s="12" t="s">
        <v>65</v>
      </c>
      <c r="U39" s="12">
        <v>226.285</v>
      </c>
      <c r="V39" s="12"/>
      <c r="W39" s="12"/>
      <c r="X39" s="12"/>
      <c r="Y39" s="12"/>
      <c r="Z39" s="12">
        <v>21.689433504168</v>
      </c>
      <c r="AA39">
        <f t="shared" si="9"/>
        <v>0.16257013497421</v>
      </c>
      <c r="AM39" s="12">
        <v>28.4827047523347</v>
      </c>
      <c r="AN39">
        <f t="shared" si="10"/>
        <v>0.0997183302059731</v>
      </c>
      <c r="AO39" s="12">
        <v>240.583181921863</v>
      </c>
      <c r="AP39">
        <f t="shared" si="11"/>
        <v>0.062367134258044</v>
      </c>
      <c r="AQ39" s="12">
        <v>192.100541010569</v>
      </c>
      <c r="AR39">
        <f t="shared" si="12"/>
        <v>0.200878411668096</v>
      </c>
      <c r="AS39" s="12">
        <v>0.665442885421796</v>
      </c>
      <c r="AT39">
        <f t="shared" si="13"/>
        <v>0.0626804582235778</v>
      </c>
      <c r="AV39" s="12">
        <v>0.697345490591114</v>
      </c>
    </row>
    <row r="40" spans="1:48">
      <c r="A40" s="2">
        <v>52.5</v>
      </c>
      <c r="B40" s="2">
        <v>8.4</v>
      </c>
      <c r="C40" s="2">
        <v>0.0132</v>
      </c>
      <c r="D40" s="2">
        <v>1</v>
      </c>
      <c r="E40" s="2">
        <v>1</v>
      </c>
      <c r="F40" s="2">
        <v>23</v>
      </c>
      <c r="G40" s="5">
        <v>0.909893599259399</v>
      </c>
      <c r="H40" s="6">
        <v>24</v>
      </c>
      <c r="I40" s="2">
        <v>28.1</v>
      </c>
      <c r="J40" s="6">
        <v>253.885943864071</v>
      </c>
      <c r="K40" s="10">
        <v>213.563928446579</v>
      </c>
      <c r="L40" s="11">
        <v>0.612510146527061</v>
      </c>
      <c r="N40" t="s">
        <v>66</v>
      </c>
      <c r="O40">
        <v>23.0119</v>
      </c>
      <c r="P40">
        <f t="shared" si="7"/>
        <v>0.181071174377224</v>
      </c>
      <c r="Q40" s="12">
        <v>271.2566</v>
      </c>
      <c r="R40">
        <f t="shared" si="8"/>
        <v>0.0684191329049281</v>
      </c>
      <c r="S40" s="12"/>
      <c r="T40" s="12" t="s">
        <v>66</v>
      </c>
      <c r="U40" s="12">
        <v>271.2566</v>
      </c>
      <c r="V40" s="12"/>
      <c r="W40" s="12"/>
      <c r="X40" s="12"/>
      <c r="Y40" s="12"/>
      <c r="Z40" s="12">
        <v>24.3109704889081</v>
      </c>
      <c r="AA40">
        <f t="shared" si="9"/>
        <v>0.134840907868039</v>
      </c>
      <c r="AM40" s="12">
        <v>20.8901203999493</v>
      </c>
      <c r="AN40">
        <f t="shared" si="10"/>
        <v>0.256579345197532</v>
      </c>
      <c r="AO40" s="12">
        <v>275.191108414401</v>
      </c>
      <c r="AP40">
        <f t="shared" si="11"/>
        <v>0.0839162823513229</v>
      </c>
      <c r="AQ40" s="12">
        <v>192.252766754317</v>
      </c>
      <c r="AR40">
        <f t="shared" si="12"/>
        <v>0.0997882079023134</v>
      </c>
      <c r="AS40" s="12">
        <v>0.689165914843972</v>
      </c>
      <c r="AT40">
        <f t="shared" si="13"/>
        <v>0.125150201595108</v>
      </c>
      <c r="AV40" s="12">
        <v>0.730818449872132</v>
      </c>
    </row>
    <row r="41" spans="1:48">
      <c r="A41" s="2">
        <v>55</v>
      </c>
      <c r="B41" s="2">
        <v>8.4</v>
      </c>
      <c r="C41" s="2">
        <v>0.0132</v>
      </c>
      <c r="D41" s="2">
        <v>1</v>
      </c>
      <c r="E41" s="2">
        <v>1</v>
      </c>
      <c r="F41" s="2">
        <v>23</v>
      </c>
      <c r="G41" s="5">
        <v>0.89760467536325</v>
      </c>
      <c r="H41" s="6">
        <v>24.1</v>
      </c>
      <c r="I41" s="2">
        <v>30.4</v>
      </c>
      <c r="J41" s="6">
        <v>283.788944212811</v>
      </c>
      <c r="K41" s="10">
        <v>212.667716840868</v>
      </c>
      <c r="L41" s="11">
        <v>0.598077713222527</v>
      </c>
      <c r="N41" t="s">
        <v>67</v>
      </c>
      <c r="O41">
        <v>25.8412</v>
      </c>
      <c r="P41">
        <f t="shared" si="7"/>
        <v>0.149960526315789</v>
      </c>
      <c r="Q41" s="12">
        <v>303.0253</v>
      </c>
      <c r="R41">
        <f t="shared" si="8"/>
        <v>0.0677840211166361</v>
      </c>
      <c r="S41" s="12"/>
      <c r="T41" s="12" t="s">
        <v>67</v>
      </c>
      <c r="U41" s="12">
        <v>303.0253</v>
      </c>
      <c r="V41" s="12"/>
      <c r="W41" s="12"/>
      <c r="X41" s="12"/>
      <c r="Y41" s="12"/>
      <c r="Z41" s="12">
        <v>27.2188073316692</v>
      </c>
      <c r="AA41">
        <f t="shared" si="9"/>
        <v>0.104644495668775</v>
      </c>
      <c r="AM41" s="12">
        <v>23.4074952286299</v>
      </c>
      <c r="AN41">
        <f t="shared" si="10"/>
        <v>0.230016604321386</v>
      </c>
      <c r="AO41" s="12">
        <v>313.584881674545</v>
      </c>
      <c r="AP41">
        <f t="shared" si="11"/>
        <v>0.104993298961606</v>
      </c>
      <c r="AQ41" s="12">
        <v>203.289143598182</v>
      </c>
      <c r="AR41">
        <f t="shared" si="12"/>
        <v>0.0440996564123725</v>
      </c>
      <c r="AS41" s="12">
        <v>0.611988734722548</v>
      </c>
      <c r="AT41">
        <f t="shared" si="13"/>
        <v>0.0232595550586001</v>
      </c>
      <c r="AV41" s="12">
        <v>0.758321376327035</v>
      </c>
    </row>
    <row r="42" spans="1:48">
      <c r="A42" s="2">
        <v>57.5</v>
      </c>
      <c r="B42" s="2">
        <v>8.4</v>
      </c>
      <c r="C42" s="2">
        <v>0.0132</v>
      </c>
      <c r="D42" s="2">
        <v>1</v>
      </c>
      <c r="E42" s="2">
        <v>1</v>
      </c>
      <c r="F42" s="2">
        <v>23</v>
      </c>
      <c r="G42" s="5">
        <v>0.883786850160418</v>
      </c>
      <c r="H42" s="6">
        <v>24.3</v>
      </c>
      <c r="I42" s="2">
        <v>32.7</v>
      </c>
      <c r="J42" s="6">
        <v>315.400147687313</v>
      </c>
      <c r="K42" s="10">
        <v>205.276546315683</v>
      </c>
      <c r="L42" s="11">
        <v>0.581443433483528</v>
      </c>
      <c r="N42" t="s">
        <v>68</v>
      </c>
      <c r="O42">
        <v>29.6938</v>
      </c>
      <c r="P42">
        <f t="shared" si="7"/>
        <v>0.0919327217125383</v>
      </c>
      <c r="Q42" s="12">
        <v>342.9723</v>
      </c>
      <c r="R42">
        <f t="shared" si="8"/>
        <v>0.0874195922698869</v>
      </c>
      <c r="S42" s="12"/>
      <c r="T42" s="12" t="s">
        <v>68</v>
      </c>
      <c r="U42" s="12">
        <v>342.9723</v>
      </c>
      <c r="V42" s="12"/>
      <c r="W42" s="12"/>
      <c r="X42" s="12"/>
      <c r="Y42" s="12"/>
      <c r="Z42" s="12">
        <v>30.4410976253065</v>
      </c>
      <c r="AA42">
        <f t="shared" si="9"/>
        <v>0.0690795833239604</v>
      </c>
      <c r="AM42" s="12">
        <v>26.0399469798864</v>
      </c>
      <c r="AN42">
        <f t="shared" si="10"/>
        <v>0.203671346180843</v>
      </c>
      <c r="AO42" s="12">
        <v>356.006225264969</v>
      </c>
      <c r="AP42">
        <f t="shared" si="11"/>
        <v>0.128744637170913</v>
      </c>
      <c r="AQ42" s="12">
        <v>185.290240531375</v>
      </c>
      <c r="AR42">
        <f t="shared" si="12"/>
        <v>0.0973628314730715</v>
      </c>
      <c r="AS42" s="12">
        <v>0.533342114333816</v>
      </c>
      <c r="AT42">
        <f t="shared" si="13"/>
        <v>0.0827274269167144</v>
      </c>
      <c r="AV42" s="12">
        <v>0.780633531966956</v>
      </c>
    </row>
    <row r="43" spans="1:48">
      <c r="A43" s="2">
        <v>60</v>
      </c>
      <c r="B43" s="2">
        <v>8.4</v>
      </c>
      <c r="C43" s="2">
        <v>0.0132</v>
      </c>
      <c r="D43" s="2">
        <v>1</v>
      </c>
      <c r="E43" s="2">
        <v>1</v>
      </c>
      <c r="F43" s="2">
        <v>23</v>
      </c>
      <c r="G43" s="5">
        <v>0.868253123396246</v>
      </c>
      <c r="H43" s="6">
        <v>24.9</v>
      </c>
      <c r="I43" s="2">
        <v>35</v>
      </c>
      <c r="J43" s="6">
        <v>348.107103304465</v>
      </c>
      <c r="K43" s="10">
        <v>178.555601281934</v>
      </c>
      <c r="L43" s="11">
        <v>0.563499845379706</v>
      </c>
      <c r="N43" t="s">
        <v>69</v>
      </c>
      <c r="O43">
        <v>31.8807</v>
      </c>
      <c r="P43">
        <f t="shared" si="7"/>
        <v>0.0891228571428571</v>
      </c>
      <c r="Q43" s="12">
        <v>369.0649</v>
      </c>
      <c r="R43">
        <f t="shared" si="8"/>
        <v>0.0602050245358099</v>
      </c>
      <c r="S43" s="12"/>
      <c r="T43" s="12" t="s">
        <v>69</v>
      </c>
      <c r="U43" s="12">
        <v>369.0649</v>
      </c>
      <c r="V43" s="12"/>
      <c r="W43" s="12"/>
      <c r="X43" s="12"/>
      <c r="Y43" s="12"/>
      <c r="Z43" s="12">
        <v>34.0079781558079</v>
      </c>
      <c r="AA43">
        <f t="shared" si="9"/>
        <v>0.0283434812626319</v>
      </c>
      <c r="AM43" s="12">
        <v>28.7923448504041</v>
      </c>
      <c r="AN43">
        <f t="shared" si="10"/>
        <v>0.177361575702741</v>
      </c>
      <c r="AO43" s="12">
        <v>402.665308358433</v>
      </c>
      <c r="AP43">
        <f t="shared" si="11"/>
        <v>0.156728215356899</v>
      </c>
      <c r="AQ43" s="12">
        <v>168.339055712453</v>
      </c>
      <c r="AR43">
        <f t="shared" si="12"/>
        <v>0.0572177265576194</v>
      </c>
      <c r="AS43" s="12">
        <v>0.552490205920118</v>
      </c>
      <c r="AT43">
        <f t="shared" si="13"/>
        <v>0.0195379635857208</v>
      </c>
      <c r="AV43" s="12">
        <v>0.799507974238652</v>
      </c>
    </row>
    <row r="44" spans="1:48">
      <c r="A44" s="2">
        <v>62.5</v>
      </c>
      <c r="B44" s="2">
        <v>8.4</v>
      </c>
      <c r="C44" s="2">
        <v>0.0132</v>
      </c>
      <c r="D44" s="2">
        <v>1</v>
      </c>
      <c r="E44" s="2">
        <v>1</v>
      </c>
      <c r="F44" s="2">
        <v>23</v>
      </c>
      <c r="G44" s="5">
        <v>0.850790029374404</v>
      </c>
      <c r="H44" s="6">
        <v>25.5</v>
      </c>
      <c r="I44" s="2">
        <v>37.9</v>
      </c>
      <c r="J44" s="6">
        <v>385.518152881026</v>
      </c>
      <c r="K44" s="10">
        <v>191.16864384437</v>
      </c>
      <c r="L44" s="11">
        <v>0.553138334928298</v>
      </c>
      <c r="N44" t="s">
        <v>70</v>
      </c>
      <c r="O44">
        <v>35.5807</v>
      </c>
      <c r="P44">
        <f t="shared" si="7"/>
        <v>0.0611952506596306</v>
      </c>
      <c r="Q44" s="12">
        <v>449.4163</v>
      </c>
      <c r="R44">
        <f t="shared" si="8"/>
        <v>0.16574614357704</v>
      </c>
      <c r="S44" s="12"/>
      <c r="T44" s="12" t="s">
        <v>70</v>
      </c>
      <c r="U44" s="12">
        <v>449.4163</v>
      </c>
      <c r="V44" s="12"/>
      <c r="W44" s="12"/>
      <c r="X44" s="12"/>
      <c r="Y44" s="12"/>
      <c r="Z44" s="12">
        <v>37.9515505515231</v>
      </c>
      <c r="AA44">
        <f t="shared" si="9"/>
        <v>0.00136017286340764</v>
      </c>
      <c r="AM44" s="12">
        <v>31.6692588347832</v>
      </c>
      <c r="AN44">
        <f t="shared" si="10"/>
        <v>0.164399503040022</v>
      </c>
      <c r="AO44" s="12">
        <v>453.707378504803</v>
      </c>
      <c r="AP44">
        <f t="shared" si="11"/>
        <v>0.176876821789558</v>
      </c>
      <c r="AQ44" s="12">
        <v>172.520396639842</v>
      </c>
      <c r="AR44">
        <f t="shared" si="12"/>
        <v>0.0975486713171931</v>
      </c>
      <c r="AS44" s="12">
        <v>0.568810638987769</v>
      </c>
      <c r="AT44">
        <f t="shared" si="13"/>
        <v>0.0283334259620652</v>
      </c>
      <c r="AV44" s="12">
        <v>0.818842402638009</v>
      </c>
    </row>
    <row r="45" spans="1:48">
      <c r="A45" s="2">
        <v>65</v>
      </c>
      <c r="B45" s="2">
        <v>8.4</v>
      </c>
      <c r="C45" s="2">
        <v>0.0132</v>
      </c>
      <c r="D45" s="2">
        <v>1</v>
      </c>
      <c r="E45" s="2">
        <v>1</v>
      </c>
      <c r="F45" s="2">
        <v>23</v>
      </c>
      <c r="G45" s="5">
        <v>0.831152647810126</v>
      </c>
      <c r="H45" s="6">
        <v>26</v>
      </c>
      <c r="I45" s="2">
        <v>40.6</v>
      </c>
      <c r="J45" s="6">
        <v>424.871940971654</v>
      </c>
      <c r="K45" s="10">
        <v>202.382452003377</v>
      </c>
      <c r="L45" s="11">
        <v>0.537671628366366</v>
      </c>
      <c r="N45" t="s">
        <v>71</v>
      </c>
      <c r="O45">
        <v>38.6111</v>
      </c>
      <c r="P45">
        <f t="shared" si="7"/>
        <v>0.0489876847290641</v>
      </c>
      <c r="Q45" s="12">
        <v>465.4668</v>
      </c>
      <c r="R45">
        <f t="shared" si="8"/>
        <v>0.0955461048698773</v>
      </c>
      <c r="S45" s="12"/>
      <c r="T45" s="12" t="s">
        <v>71</v>
      </c>
      <c r="U45" s="12">
        <v>465.4668</v>
      </c>
      <c r="V45" s="12"/>
      <c r="W45" s="12"/>
      <c r="X45" s="12"/>
      <c r="Y45" s="12"/>
      <c r="Z45" s="12">
        <v>42.3058697871108</v>
      </c>
      <c r="AA45">
        <f t="shared" si="9"/>
        <v>0.0420164972194782</v>
      </c>
      <c r="AM45" s="12">
        <v>34.6749072772447</v>
      </c>
      <c r="AN45">
        <f t="shared" si="10"/>
        <v>0.14593824440284</v>
      </c>
      <c r="AO45" s="12">
        <v>509.172003949412</v>
      </c>
      <c r="AP45">
        <f t="shared" si="11"/>
        <v>0.198412874206213</v>
      </c>
      <c r="AQ45" s="12">
        <v>167.920024638931</v>
      </c>
      <c r="AR45">
        <f t="shared" si="12"/>
        <v>0.170283673427728</v>
      </c>
      <c r="AS45" s="12">
        <v>0.582014481695024</v>
      </c>
      <c r="AT45">
        <f t="shared" si="13"/>
        <v>0.0824719977570457</v>
      </c>
      <c r="AV45" s="12">
        <v>0.839789434903628</v>
      </c>
    </row>
    <row r="46" spans="1:48">
      <c r="A46" s="2">
        <v>67.5</v>
      </c>
      <c r="B46" s="2">
        <v>8.4</v>
      </c>
      <c r="C46" s="2">
        <v>0.0132</v>
      </c>
      <c r="D46" s="2">
        <v>1</v>
      </c>
      <c r="E46" s="2">
        <v>1</v>
      </c>
      <c r="F46" s="2">
        <v>23</v>
      </c>
      <c r="G46" s="5">
        <v>0.809058400419842</v>
      </c>
      <c r="H46" s="6">
        <v>26.1</v>
      </c>
      <c r="I46" s="2">
        <v>42</v>
      </c>
      <c r="J46" s="6">
        <v>462.731223525488</v>
      </c>
      <c r="K46" s="10">
        <v>165.897919807342</v>
      </c>
      <c r="L46" s="11">
        <v>0.504960455834963</v>
      </c>
      <c r="N46" t="s">
        <v>72</v>
      </c>
      <c r="O46">
        <v>42.5771</v>
      </c>
      <c r="P46">
        <f t="shared" si="7"/>
        <v>0.0137404761904762</v>
      </c>
      <c r="Q46" s="12">
        <v>552.1324</v>
      </c>
      <c r="R46">
        <f t="shared" si="8"/>
        <v>0.193203250460118</v>
      </c>
      <c r="S46" s="12"/>
      <c r="T46" s="12" t="s">
        <v>72</v>
      </c>
      <c r="U46" s="12">
        <v>552.1324</v>
      </c>
      <c r="V46" s="12"/>
      <c r="W46" s="12"/>
      <c r="X46" s="12"/>
      <c r="Y46" s="12"/>
      <c r="Z46" s="12">
        <v>47.1069990915393</v>
      </c>
      <c r="AA46">
        <f t="shared" si="9"/>
        <v>0.121595216465222</v>
      </c>
      <c r="AM46" s="12">
        <v>37.8131030638694</v>
      </c>
      <c r="AN46">
        <f t="shared" si="10"/>
        <v>0.0996880222888227</v>
      </c>
      <c r="AO46" s="12">
        <v>568.949135559757</v>
      </c>
      <c r="AP46">
        <f t="shared" si="11"/>
        <v>0.229545590688712</v>
      </c>
      <c r="AQ46" s="12">
        <v>184.623523741086</v>
      </c>
      <c r="AR46">
        <f t="shared" si="12"/>
        <v>0.112874253971903</v>
      </c>
      <c r="AS46" s="12">
        <v>0.592275481275303</v>
      </c>
      <c r="AT46">
        <f t="shared" si="13"/>
        <v>0.172914580600104</v>
      </c>
      <c r="AV46" s="12">
        <v>0.85410792645488</v>
      </c>
    </row>
    <row r="47" spans="1:48">
      <c r="A47" s="2">
        <v>70</v>
      </c>
      <c r="B47" s="2">
        <v>8.4</v>
      </c>
      <c r="C47" s="2">
        <v>0.0132</v>
      </c>
      <c r="D47" s="2">
        <v>1</v>
      </c>
      <c r="E47" s="2">
        <v>1</v>
      </c>
      <c r="F47" s="2">
        <v>23</v>
      </c>
      <c r="G47" s="5">
        <v>0.784179277129304</v>
      </c>
      <c r="H47" s="6">
        <v>26.1</v>
      </c>
      <c r="I47" s="2">
        <v>43.9</v>
      </c>
      <c r="J47" s="6">
        <v>505.711248263073</v>
      </c>
      <c r="K47" s="10">
        <v>165.936503336321</v>
      </c>
      <c r="L47" s="11">
        <v>0.479637265194785</v>
      </c>
      <c r="N47" t="s">
        <v>73</v>
      </c>
      <c r="O47">
        <v>44.3441</v>
      </c>
      <c r="P47">
        <f t="shared" si="7"/>
        <v>0.0101161731207289</v>
      </c>
      <c r="Q47" s="12">
        <v>636.8531</v>
      </c>
      <c r="R47">
        <f t="shared" si="8"/>
        <v>0.259321603360316</v>
      </c>
      <c r="S47" s="12"/>
      <c r="T47" s="12" t="s">
        <v>73</v>
      </c>
      <c r="U47" s="12">
        <v>636.8531</v>
      </c>
      <c r="V47" s="12"/>
      <c r="W47" s="12"/>
      <c r="X47" s="12"/>
      <c r="Y47" s="12"/>
      <c r="Z47" s="12">
        <v>52.3932478918503</v>
      </c>
      <c r="AA47">
        <f t="shared" si="9"/>
        <v>0.193468061317774</v>
      </c>
      <c r="AM47" s="12">
        <v>41.0871989683818</v>
      </c>
      <c r="AN47">
        <f t="shared" si="10"/>
        <v>0.0640729164377724</v>
      </c>
      <c r="AO47" s="12">
        <v>632.738790462089</v>
      </c>
      <c r="AP47">
        <f t="shared" si="11"/>
        <v>0.251185914166054</v>
      </c>
      <c r="AQ47" s="12">
        <v>182.714852815994</v>
      </c>
      <c r="AR47">
        <f t="shared" si="12"/>
        <v>0.101113071218974</v>
      </c>
      <c r="AS47" s="12">
        <v>0.800238821435452</v>
      </c>
      <c r="AT47">
        <f t="shared" si="13"/>
        <v>0.668425035970605</v>
      </c>
      <c r="AV47" s="12">
        <v>0.861764965609435</v>
      </c>
    </row>
    <row r="48" spans="1:48">
      <c r="A48" s="2">
        <v>65</v>
      </c>
      <c r="B48" s="2">
        <v>10</v>
      </c>
      <c r="C48" s="2">
        <v>0.03</v>
      </c>
      <c r="D48" s="2">
        <v>1</v>
      </c>
      <c r="E48" s="2">
        <v>1</v>
      </c>
      <c r="F48" s="2">
        <v>22.2</v>
      </c>
      <c r="G48" s="5">
        <v>0.831152647810126</v>
      </c>
      <c r="H48" s="6">
        <v>22.7</v>
      </c>
      <c r="I48" s="2">
        <v>32.5</v>
      </c>
      <c r="J48" s="6">
        <v>617.956034531839</v>
      </c>
      <c r="K48" s="10">
        <v>190.764987398283</v>
      </c>
      <c r="L48" s="11">
        <v>0.817423129037189</v>
      </c>
      <c r="N48" t="s">
        <v>74</v>
      </c>
      <c r="O48">
        <v>28.8242</v>
      </c>
      <c r="P48">
        <f t="shared" si="7"/>
        <v>0.113101538461538</v>
      </c>
      <c r="Q48" s="12">
        <v>573.9062</v>
      </c>
      <c r="R48">
        <f t="shared" si="8"/>
        <v>0.0712831205948348</v>
      </c>
      <c r="S48" s="12"/>
      <c r="T48" s="12" t="s">
        <v>74</v>
      </c>
      <c r="U48" s="12">
        <v>573.9062</v>
      </c>
      <c r="V48" s="12"/>
      <c r="W48" s="12"/>
      <c r="X48" s="12"/>
      <c r="Y48" s="12"/>
      <c r="Z48" s="12">
        <v>30.6100456282267</v>
      </c>
      <c r="AA48">
        <f t="shared" si="9"/>
        <v>0.0581524422084102</v>
      </c>
      <c r="AM48" s="12">
        <v>28.8540537463153</v>
      </c>
      <c r="AN48">
        <f t="shared" si="10"/>
        <v>0.112182961651838</v>
      </c>
      <c r="AO48" s="12">
        <v>640.346013919448</v>
      </c>
      <c r="AP48">
        <f t="shared" si="11"/>
        <v>0.036232317732072</v>
      </c>
      <c r="AQ48" s="12">
        <v>169.857359823266</v>
      </c>
      <c r="AR48">
        <f t="shared" si="12"/>
        <v>0.109598872729017</v>
      </c>
      <c r="AS48" s="12">
        <v>0.841127286951505</v>
      </c>
      <c r="AT48">
        <f t="shared" si="13"/>
        <v>0.0289986386147852</v>
      </c>
      <c r="AV48" s="12">
        <v>0.830959940554304</v>
      </c>
    </row>
    <row r="49" spans="1:48">
      <c r="A49" s="2">
        <v>67.5</v>
      </c>
      <c r="B49" s="2">
        <v>10</v>
      </c>
      <c r="C49" s="2">
        <v>0.03</v>
      </c>
      <c r="D49" s="2">
        <v>1</v>
      </c>
      <c r="E49" s="2">
        <v>1</v>
      </c>
      <c r="F49" s="2">
        <v>22.2</v>
      </c>
      <c r="G49" s="5">
        <v>0.809058400419842</v>
      </c>
      <c r="H49" s="6">
        <v>22.7</v>
      </c>
      <c r="I49" s="2">
        <v>36.2</v>
      </c>
      <c r="J49" s="6">
        <v>690.225601738512</v>
      </c>
      <c r="K49" s="10">
        <v>232.86458903173</v>
      </c>
      <c r="L49" s="11">
        <v>0.826475708615759</v>
      </c>
      <c r="N49" t="s">
        <v>75</v>
      </c>
      <c r="O49">
        <v>33.2049</v>
      </c>
      <c r="P49">
        <f t="shared" si="7"/>
        <v>0.0827375690607735</v>
      </c>
      <c r="Q49" s="12">
        <v>631.5574</v>
      </c>
      <c r="R49">
        <f t="shared" si="8"/>
        <v>0.0849985882742409</v>
      </c>
      <c r="S49" s="12"/>
      <c r="T49" s="12" t="s">
        <v>75</v>
      </c>
      <c r="U49" s="12">
        <v>631.5574</v>
      </c>
      <c r="V49" s="12"/>
      <c r="W49" s="12"/>
      <c r="X49" s="12"/>
      <c r="Y49" s="12"/>
      <c r="Z49" s="12">
        <v>34.0178061483534</v>
      </c>
      <c r="AA49">
        <f t="shared" si="9"/>
        <v>0.060281598111785</v>
      </c>
      <c r="AM49" s="12">
        <v>31.6313956811172</v>
      </c>
      <c r="AN49">
        <f t="shared" si="10"/>
        <v>0.126204539195658</v>
      </c>
      <c r="AO49" s="12">
        <v>716.538219375714</v>
      </c>
      <c r="AP49">
        <f t="shared" si="11"/>
        <v>0.0381217642042349</v>
      </c>
      <c r="AQ49" s="12">
        <v>193.721537171324</v>
      </c>
      <c r="AR49">
        <f t="shared" si="12"/>
        <v>0.168093620516395</v>
      </c>
      <c r="AS49" s="12">
        <v>0.858005623500032</v>
      </c>
      <c r="AT49">
        <f t="shared" si="13"/>
        <v>0.0381498385924513</v>
      </c>
      <c r="AV49" s="12">
        <v>0.84790403390953</v>
      </c>
    </row>
    <row r="50" spans="1:48">
      <c r="A50" s="2">
        <v>70</v>
      </c>
      <c r="B50" s="2">
        <v>10</v>
      </c>
      <c r="C50" s="2">
        <v>0.03</v>
      </c>
      <c r="D50" s="2">
        <v>1</v>
      </c>
      <c r="E50" s="2">
        <v>1</v>
      </c>
      <c r="F50" s="2">
        <v>22.2</v>
      </c>
      <c r="G50" s="5">
        <v>0.784179277129304</v>
      </c>
      <c r="H50" s="6">
        <v>22.7</v>
      </c>
      <c r="I50" s="2">
        <v>39.5</v>
      </c>
      <c r="J50" s="6">
        <v>762.233578299732</v>
      </c>
      <c r="K50" s="10">
        <v>274.541162739881</v>
      </c>
      <c r="L50" s="11">
        <v>0.819535859893458</v>
      </c>
      <c r="N50" t="s">
        <v>76</v>
      </c>
      <c r="O50">
        <v>34.8676</v>
      </c>
      <c r="P50">
        <f t="shared" si="7"/>
        <v>0.117275949367089</v>
      </c>
      <c r="Q50" s="12">
        <v>723.3884</v>
      </c>
      <c r="R50">
        <f t="shared" si="8"/>
        <v>0.0509623026400668</v>
      </c>
      <c r="S50" s="12"/>
      <c r="T50" s="12" t="s">
        <v>76</v>
      </c>
      <c r="U50" s="12">
        <v>723.3884</v>
      </c>
      <c r="V50" s="12"/>
      <c r="W50" s="12"/>
      <c r="X50" s="12"/>
      <c r="Y50" s="12"/>
      <c r="Z50" s="12">
        <v>37.7645048625896</v>
      </c>
      <c r="AA50">
        <f t="shared" si="9"/>
        <v>0.0439365857572252</v>
      </c>
      <c r="AM50" s="12">
        <v>34.539526291039</v>
      </c>
      <c r="AN50">
        <f t="shared" si="10"/>
        <v>0.125581612885089</v>
      </c>
      <c r="AO50" s="12">
        <v>795.6551956852</v>
      </c>
      <c r="AP50">
        <f t="shared" si="11"/>
        <v>0.0438469497237572</v>
      </c>
      <c r="AQ50" s="12">
        <v>238.689409092532</v>
      </c>
      <c r="AR50">
        <f t="shared" si="12"/>
        <v>0.130587899058756</v>
      </c>
      <c r="AS50" s="12">
        <v>0.873070650963235</v>
      </c>
      <c r="AT50">
        <f t="shared" si="13"/>
        <v>0.0653233051653614</v>
      </c>
      <c r="AV50" s="12">
        <v>0.861091718348091</v>
      </c>
    </row>
    <row r="51" spans="16:46">
      <c r="P51">
        <f>AVERAGE(P1:P50)</f>
        <v>0.147685972786303</v>
      </c>
      <c r="R51">
        <f>AVERAGE(R1:R50)</f>
        <v>0.077930108398467</v>
      </c>
      <c r="AA51">
        <f>AVERAGE(AA1:AA50)</f>
        <v>0.192203675414871</v>
      </c>
      <c r="AN51">
        <f>AVERAGE(AN1:AN50)</f>
        <v>0.11893089949013</v>
      </c>
      <c r="AP51">
        <f>AVERAGE(AP1:AP50)</f>
        <v>0.0807966128317861</v>
      </c>
      <c r="AR51">
        <f>AVERAGE(AR1:AR50)</f>
        <v>0.119004184727887</v>
      </c>
      <c r="AT51">
        <f>AVERAGE(AT1:AT50)</f>
        <v>0.103174492760276</v>
      </c>
    </row>
    <row r="53" spans="46:46">
      <c r="AT53" t="s">
        <v>77</v>
      </c>
    </row>
    <row r="54" spans="43:43">
      <c r="AQ54">
        <f>AVERAGE(AN51:AT51)</f>
        <v>0.10547654745252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水冷</vt:lpstr>
      <vt:lpstr>Sheet3</vt:lpstr>
      <vt:lpstr>Sheet4</vt:lpstr>
      <vt:lpstr>Sheet6</vt:lpstr>
      <vt:lpstr>删除前数据集750</vt:lpstr>
      <vt:lpstr>泛化能力-新数据预测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he</dc:creator>
  <cp:lastModifiedBy>He Wei</cp:lastModifiedBy>
  <dcterms:created xsi:type="dcterms:W3CDTF">2023-05-12T11:15:00Z</dcterms:created>
  <dcterms:modified xsi:type="dcterms:W3CDTF">2026-07-14T05:55:26Z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21DEB986D74E4022ADA7F589AE44F8B0_13</vt:lpwstr>
  </property>
</Properties>
</file>